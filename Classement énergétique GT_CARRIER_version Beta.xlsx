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ierre-alainduclos/Desktop/Netair/Site/netair-site/"/>
    </mc:Choice>
  </mc:AlternateContent>
  <xr:revisionPtr revIDLastSave="0" documentId="8_{7C2C6F0A-9F33-5C42-9485-ABFCA588ECC0}" xr6:coauthVersionLast="47" xr6:coauthVersionMax="47" xr10:uidLastSave="{00000000-0000-0000-0000-000000000000}"/>
  <workbookProtection workbookAlgorithmName="SHA-512" workbookHashValue="ZpaVoIcJJx7Hd9Guvpe2s+rVj1nUZlidFlbBiYkRnD0siSOcAH2H48ga9IO/LOCXEiuj/mBUeTCfhAVYpRJc0A==" workbookSaltValue="AFfvhEHamXS7oIQozJoyKA==" workbookSpinCount="100000" lockStructure="1"/>
  <bookViews>
    <workbookView xWindow="0" yWindow="760" windowWidth="30240" windowHeight="17720" xr2:uid="{C22A9F90-10F2-4D7A-B2D3-1FB014BE5BD9}"/>
  </bookViews>
  <sheets>
    <sheet name="Classement GT" sheetId="1" r:id="rId1"/>
    <sheet name="Feuil1" sheetId="2" state="veryHidden" r:id="rId2"/>
  </sheets>
  <definedNames>
    <definedName name="Changement_du_filtre">'Classement GT'!$B$10</definedName>
    <definedName name="Coût_de_l_énergie">'Classement GT'!$F$15</definedName>
    <definedName name="Débit">'Classement GT'!$B$12</definedName>
    <definedName name="Durée_de_fonctionnement">'Classement GT'!$F$12</definedName>
    <definedName name="Durée_de_fonctionnement_Journée">'Classement GT'!$F$12</definedName>
    <definedName name="Largeur">'Classement GT'!$B$13</definedName>
    <definedName name="Longueur">'Classement GT'!$B$14</definedName>
    <definedName name="Nombre_de_jours_par_an">'Classement GT'!$F$14</definedName>
    <definedName name="Perte_de_charge_initiale">'Classement GT'!$B$20</definedName>
    <definedName name="Rendement_ventilateur">'Classement GT'!$F$13</definedName>
    <definedName name="Vitesse_d_air_frontale">'Classement GT'!$B$19</definedName>
    <definedName name="_xlnm.Print_Area" localSheetId="0">'Classement GT'!$A$1:$G$25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0" i="1" l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36" i="1"/>
  <c r="B19" i="1" l="1"/>
  <c r="B20" i="1" s="1"/>
  <c r="F19" i="1" s="1" a="1"/>
  <c r="F19" i="1" s="1"/>
  <c r="B15" i="1"/>
  <c r="F23" i="1" l="1"/>
  <c r="F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<sst xmlns="http://schemas.openxmlformats.org/spreadsheetml/2006/main" count="613" uniqueCount="70">
  <si>
    <t>CLASSEMENT ÉNERGÉTIQUE GT</t>
  </si>
  <si>
    <t>Selectionnez le type de filtre à air :</t>
  </si>
  <si>
    <t>Débit :</t>
  </si>
  <si>
    <t>heures</t>
  </si>
  <si>
    <t>Largeur :</t>
  </si>
  <si>
    <t>mm</t>
  </si>
  <si>
    <t>Nombre de jours par an :</t>
  </si>
  <si>
    <t>jours</t>
  </si>
  <si>
    <t>Longueur :</t>
  </si>
  <si>
    <t>Résultat</t>
  </si>
  <si>
    <t>m/s</t>
  </si>
  <si>
    <t>kWh</t>
  </si>
  <si>
    <t>Pa</t>
  </si>
  <si>
    <t>A++</t>
  </si>
  <si>
    <t>A+</t>
  </si>
  <si>
    <t>A</t>
  </si>
  <si>
    <t>B</t>
  </si>
  <si>
    <t>C</t>
  </si>
  <si>
    <t>D</t>
  </si>
  <si>
    <t>TITABAG S M5 - ePM10 50% 592x592x380mm</t>
  </si>
  <si>
    <t>TITABAG S M5 - ePM10 50% 592x592x550mm</t>
  </si>
  <si>
    <t>TITABAG S M5 - ePM10 50% 592x592x650mm</t>
  </si>
  <si>
    <t>TITABAG S F7 - ePM1 55% 592x592x380mm</t>
  </si>
  <si>
    <t>TITABAG S F7 - ePM1 55% 592x592x550mm</t>
  </si>
  <si>
    <t>TITABAG S F7 - ePM1 55% 592x592x650mm</t>
  </si>
  <si>
    <t>TITABAG S F8 - ePM1 70% 592x592x360mm</t>
  </si>
  <si>
    <t>TITABAG S F8 - ePM1 70% 592x592x500mm</t>
  </si>
  <si>
    <t>kg</t>
  </si>
  <si>
    <t>TITAPLY G4 - COARSE 65% EP48mm</t>
  </si>
  <si>
    <t>TITAPLY G4  - COARSE 65% EP98mm</t>
  </si>
  <si>
    <t>PRISME A M5 - ePM10 50% EP48mm</t>
  </si>
  <si>
    <t>PRISME A M6 - ePM2.5 50% EP48mm</t>
  </si>
  <si>
    <t>PRISME A F7 - ePM1 55% EP48mm</t>
  </si>
  <si>
    <t>PRISME A  F8 - ePM1 70%  EP48mm</t>
  </si>
  <si>
    <t>PRISME A  F9 - ePM1 80% EP48mm</t>
  </si>
  <si>
    <t>PRISME A M5 - ePM10 50% EP98mm</t>
  </si>
  <si>
    <t>PRISME A M6 - ePM2.5 50% EP98mm</t>
  </si>
  <si>
    <t>PRISME A F7 - ePM1 55% EP98mm</t>
  </si>
  <si>
    <t>PRISME A  F8 - ePM1 70% EP98mm</t>
  </si>
  <si>
    <t>PRISME A  F9 - ePM1 80% EP98mm</t>
  </si>
  <si>
    <t>SV-GD F7 - ePM1 55% 592x592x292mm</t>
  </si>
  <si>
    <t>SV-GD F8 - ePM1 70% 592x592x292mm</t>
  </si>
  <si>
    <t>SV-GD F9 - ePM1 80% 592x592x292mm</t>
  </si>
  <si>
    <t>QUARTZ F7 - ePM1 55% 592x592x292mm</t>
  </si>
  <si>
    <t>QUARTZ F8 - ePM1 70% 592x592x292mm</t>
  </si>
  <si>
    <t>QUARTZ F9 - ePM1 80% 592x592x292mm</t>
  </si>
  <si>
    <t>Perte de charge initiale</t>
  </si>
  <si>
    <t>Vitesse d'air frontale</t>
  </si>
  <si>
    <t>Classement énergétique GT</t>
  </si>
  <si>
    <t>TITABAG S F9 - ePM1 80% 592x592x380mm</t>
  </si>
  <si>
    <t>TITABAG S F9 - ePM1 80% 592x592x550mm</t>
  </si>
  <si>
    <t>TITABAG S F9 - ePM1 80% 592x592x650mm</t>
  </si>
  <si>
    <r>
      <t>m</t>
    </r>
    <r>
      <rPr>
        <sz val="14"/>
        <color theme="1"/>
        <rFont val="Calibri"/>
        <family val="2"/>
      </rPr>
      <t>³</t>
    </r>
    <r>
      <rPr>
        <sz val="14"/>
        <color theme="1"/>
        <rFont val="Calibri"/>
        <family val="2"/>
        <scheme val="minor"/>
      </rPr>
      <t>/h</t>
    </r>
  </si>
  <si>
    <t>€</t>
  </si>
  <si>
    <t>Consommations énergétiques estimées :</t>
  </si>
  <si>
    <t>PRISME A GR F7 - ePM1 50% EP48mm</t>
  </si>
  <si>
    <t>PRISME A GR F7 - ePM1 50% EP98mm</t>
  </si>
  <si>
    <t>AFPRO Filtre miniplis F7 CPMC acier galvanisé</t>
  </si>
  <si>
    <t>Filtre F7 classique en fibre de verre ePM1 55% EP48mm</t>
  </si>
  <si>
    <t>PRISME PLY M5 - ePM10 50% EP48mm</t>
  </si>
  <si>
    <t>PRISME PLY M5 - ePM10 50% EP98mm</t>
  </si>
  <si>
    <r>
      <t>Estimation des émissions annuelles de CO</t>
    </r>
    <r>
      <rPr>
        <sz val="11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(RE2020):</t>
    </r>
  </si>
  <si>
    <t>Rendement ventilateur :</t>
  </si>
  <si>
    <t>%</t>
  </si>
  <si>
    <t>Durée de fonctionnement :</t>
  </si>
  <si>
    <t>Changement du filtre :</t>
  </si>
  <si>
    <t>Selon EN13053 : perte de charge initiale + 100Pa</t>
  </si>
  <si>
    <t>Coût de l'énergie :</t>
  </si>
  <si>
    <t>€/kWh</t>
  </si>
  <si>
    <t>Coût annuel de l'énergie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</si>
</sst>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54">
    <xf numFmtId="0" fontId="0" fillId="0" borderId="0" xfId="0"/>
    <xf numFmtId="0" fontId="0" fillId="0" borderId="10" xfId="0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9" fillId="3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10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right" vertical="center"/>
    </xf>
    <xf numFmtId="0" fontId="15" fillId="4" borderId="9" xfId="0" applyFont="1" applyFill="1" applyBorder="1" applyAlignment="1" applyProtection="1">
      <alignment vertical="center"/>
      <protection locked="0"/>
    </xf>
    <xf numFmtId="0" fontId="19" fillId="0" borderId="0" xfId="0" applyFont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2" fontId="15" fillId="0" borderId="10" xfId="0" applyNumberFormat="1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5" fillId="0" borderId="10" xfId="0" applyFont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9" fillId="0" borderId="0" xfId="0" applyFont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" fontId="15" fillId="0" borderId="10" xfId="0" applyNumberFormat="1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5" fillId="4" borderId="12" xfId="0" applyFont="1" applyFill="1" applyBorder="1" applyAlignment="1" applyProtection="1">
      <alignment horizontal="right" vertical="center"/>
      <protection locked="0"/>
    </xf>
    <xf numFmtId="0" fontId="15" fillId="0" borderId="0" xfId="0" applyFont="1" applyAlignment="1">
      <alignment horizontal="right" vertical="center"/>
    </xf>
    <xf numFmtId="2" fontId="15" fillId="0" borderId="10" xfId="1" applyNumberFormat="1" applyFont="1" applyFill="1" applyBorder="1" applyAlignment="1" applyProtection="1">
      <alignment horizontal="right" vertical="center"/>
    </xf>
    <xf numFmtId="2" fontId="15" fillId="0" borderId="10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5" fillId="4" borderId="0" xfId="0" applyFont="1" applyFill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2" fontId="10" fillId="2" borderId="10" xfId="0" applyNumberFormat="1" applyFont="1" applyFill="1" applyBorder="1" applyAlignment="1">
      <alignment horizontal="center" vertical="center"/>
    </xf>
    <xf numFmtId="2" fontId="10" fillId="2" borderId="15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0" fillId="4" borderId="0" xfId="0" applyFill="1" applyAlignment="1" applyProtection="1">
      <alignment horizontal="left" vertical="center"/>
      <protection locked="0"/>
    </xf>
  </cellXfs>
  <cellStyles count="2">
    <cellStyle name="Monétaire" xfId="1" builtinId="4"/>
    <cellStyle name="Normal" xfId="0" builtinId="0"/>
  </cellStyles>
  <dxfs count="4">
    <dxf>
      <font>
        <strike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2600325</xdr:colOff>
      <xdr:row>4</xdr:row>
      <xdr:rowOff>28575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04DE834-EC28-4EC1-96F2-C7754F3E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00325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07E0-D293-4717-B3A0-9634BD21E09E}">
  <sheetPr codeName="Feuil1">
    <pageSetUpPr fitToPage="1"/>
  </sheetPr>
  <dimension ref="A5:AQ49"/>
  <sheetViews>
    <sheetView tabSelected="1" zoomScaleNormal="100" workbookViewId="0">
      <selection activeCell="AS18" sqref="AS18"/>
    </sheetView>
  </sheetViews>
  <sheetFormatPr baseColWidth="10" defaultColWidth="11" defaultRowHeight="16" x14ac:dyDescent="0.2"/>
  <cols>
    <col min="1" max="1" width="36.83203125" style="13" customWidth="1"/>
    <col min="2" max="2" width="17" style="13" customWidth="1"/>
    <col min="3" max="3" width="11" style="13"/>
    <col min="4" max="4" width="4.5" style="13" customWidth="1"/>
    <col min="5" max="5" width="53.6640625" style="13" customWidth="1"/>
    <col min="6" max="6" width="14.1640625" style="13" customWidth="1"/>
    <col min="7" max="7" width="11" style="13"/>
    <col min="8" max="8" width="11" style="13" customWidth="1"/>
    <col min="9" max="9" width="13.1640625" style="13" hidden="1" customWidth="1"/>
    <col min="10" max="22" width="28.6640625" style="13" hidden="1" customWidth="1"/>
    <col min="23" max="24" width="30.1640625" style="13" hidden="1" customWidth="1"/>
    <col min="25" max="40" width="28.6640625" style="13" hidden="1" customWidth="1"/>
    <col min="41" max="43" width="11" style="13" hidden="1" customWidth="1"/>
    <col min="44" max="45" width="11" style="13" customWidth="1"/>
    <col min="46" max="16384" width="11" style="13"/>
  </cols>
  <sheetData>
    <row r="5" spans="1:19" ht="24" x14ac:dyDescent="0.2">
      <c r="A5" s="42" t="s">
        <v>0</v>
      </c>
      <c r="B5" s="42"/>
      <c r="C5" s="42"/>
      <c r="D5" s="42"/>
      <c r="E5" s="42"/>
      <c r="F5" s="42"/>
      <c r="G5" s="42"/>
    </row>
    <row r="6" spans="1:19" ht="21" x14ac:dyDescent="0.2">
      <c r="A6" s="14"/>
      <c r="B6" s="14"/>
      <c r="C6" s="14"/>
      <c r="D6" s="14"/>
      <c r="E6" s="14"/>
      <c r="F6" s="14"/>
      <c r="G6" s="14"/>
    </row>
    <row r="7" spans="1:19" x14ac:dyDescent="0.2">
      <c r="A7" s="15"/>
      <c r="B7" s="15"/>
      <c r="C7" s="15"/>
      <c r="D7" s="15"/>
      <c r="E7" s="15"/>
      <c r="F7" s="15"/>
    </row>
    <row r="8" spans="1:19" ht="19" x14ac:dyDescent="0.2">
      <c r="A8" s="39" t="s">
        <v>1</v>
      </c>
      <c r="B8" s="43" t="s">
        <v>55</v>
      </c>
      <c r="C8" s="43"/>
      <c r="D8" s="43"/>
      <c r="E8" s="43"/>
      <c r="F8" s="16"/>
      <c r="G8" s="17"/>
    </row>
    <row r="9" spans="1:19" ht="19" x14ac:dyDescent="0.2">
      <c r="A9" s="17"/>
      <c r="B9" s="16"/>
      <c r="C9" s="16"/>
      <c r="D9" s="16"/>
      <c r="E9" s="16"/>
      <c r="F9" s="16"/>
      <c r="G9" s="17"/>
    </row>
    <row r="10" spans="1:19" ht="19" x14ac:dyDescent="0.2">
      <c r="A10" s="30" t="s">
        <v>65</v>
      </c>
      <c r="B10" s="53" t="s">
        <v>66</v>
      </c>
      <c r="C10" s="53"/>
      <c r="D10" s="53"/>
      <c r="E10" s="53"/>
      <c r="F10" s="17"/>
      <c r="G10" s="17"/>
    </row>
    <row r="11" spans="1:19" ht="19" x14ac:dyDescent="0.2">
      <c r="A11" s="17"/>
      <c r="B11" s="17"/>
      <c r="C11" s="17"/>
      <c r="D11" s="17"/>
      <c r="E11" s="17"/>
      <c r="F11" s="18"/>
      <c r="G11" s="17"/>
    </row>
    <row r="12" spans="1:19" ht="22.5" customHeight="1" x14ac:dyDescent="0.2">
      <c r="A12" s="19" t="s">
        <v>2</v>
      </c>
      <c r="B12" s="38">
        <v>3000</v>
      </c>
      <c r="C12" s="19" t="s">
        <v>52</v>
      </c>
      <c r="D12" s="17"/>
      <c r="E12" s="20" t="s">
        <v>64</v>
      </c>
      <c r="F12" s="21">
        <v>24</v>
      </c>
      <c r="G12" s="19" t="s">
        <v>3</v>
      </c>
    </row>
    <row r="13" spans="1:19" ht="22.5" customHeight="1" x14ac:dyDescent="0.2">
      <c r="A13" s="19" t="s">
        <v>4</v>
      </c>
      <c r="B13" s="38">
        <v>592</v>
      </c>
      <c r="C13" s="19" t="s">
        <v>5</v>
      </c>
      <c r="D13" s="17"/>
      <c r="E13" s="20" t="s">
        <v>62</v>
      </c>
      <c r="F13" s="21">
        <v>50</v>
      </c>
      <c r="G13" s="19" t="s">
        <v>63</v>
      </c>
    </row>
    <row r="14" spans="1:19" ht="22.5" customHeight="1" x14ac:dyDescent="0.2">
      <c r="A14" s="19" t="s">
        <v>8</v>
      </c>
      <c r="B14" s="38">
        <v>592</v>
      </c>
      <c r="C14" s="19" t="s">
        <v>5</v>
      </c>
      <c r="D14" s="17"/>
      <c r="E14" s="20" t="s">
        <v>6</v>
      </c>
      <c r="F14" s="21">
        <v>250</v>
      </c>
      <c r="G14" s="19" t="s">
        <v>7</v>
      </c>
    </row>
    <row r="15" spans="1:19" ht="19" x14ac:dyDescent="0.2">
      <c r="A15" s="17"/>
      <c r="B15" s="22" t="str">
        <f>IF(OR(ISNUMBER(SEARCH("TITABAG",$B$8)),ISNUMBER(SEARCH("SV-GD",$B$8)),ISNUMBER(SEARCH("QUARTZ",$B$8))),"UNIQUEMENT VALABLE POUR DIMENSIONS STANDARD 592x592mm","")</f>
        <v/>
      </c>
      <c r="C15" s="17"/>
      <c r="D15" s="17"/>
      <c r="E15" s="20" t="s">
        <v>67</v>
      </c>
      <c r="F15" s="21">
        <v>0.15</v>
      </c>
      <c r="G15" s="19" t="s">
        <v>68</v>
      </c>
    </row>
    <row r="16" spans="1:19" ht="20" thickBot="1" x14ac:dyDescent="0.25">
      <c r="A16" s="17"/>
      <c r="B16" s="17"/>
      <c r="C16" s="17"/>
      <c r="D16" s="17"/>
      <c r="E16" s="17"/>
      <c r="F16" s="17"/>
      <c r="G16" s="17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43" ht="22.5" customHeight="1" thickBot="1" x14ac:dyDescent="0.25">
      <c r="A17" s="44" t="s">
        <v>9</v>
      </c>
      <c r="B17" s="45"/>
      <c r="C17" s="45"/>
      <c r="D17" s="45"/>
      <c r="E17" s="45"/>
      <c r="F17" s="45"/>
      <c r="G17" s="46"/>
      <c r="J17" s="7" t="s">
        <v>30</v>
      </c>
      <c r="K17" s="7" t="s">
        <v>35</v>
      </c>
      <c r="L17" s="7" t="s">
        <v>31</v>
      </c>
      <c r="M17" s="7" t="s">
        <v>36</v>
      </c>
      <c r="N17" s="36" t="s">
        <v>58</v>
      </c>
      <c r="O17" s="7" t="s">
        <v>32</v>
      </c>
      <c r="P17" s="7" t="s">
        <v>37</v>
      </c>
      <c r="Q17" s="35" t="s">
        <v>55</v>
      </c>
      <c r="R17" s="35" t="s">
        <v>56</v>
      </c>
      <c r="S17" s="7" t="s">
        <v>33</v>
      </c>
      <c r="T17" s="7" t="s">
        <v>38</v>
      </c>
      <c r="U17" s="7" t="s">
        <v>34</v>
      </c>
      <c r="V17" s="7" t="s">
        <v>39</v>
      </c>
      <c r="W17" s="37" t="s">
        <v>59</v>
      </c>
      <c r="X17" s="37" t="s">
        <v>60</v>
      </c>
      <c r="Y17" s="6" t="s">
        <v>28</v>
      </c>
      <c r="Z17" s="6" t="s">
        <v>29</v>
      </c>
      <c r="AA17" s="2" t="s">
        <v>19</v>
      </c>
      <c r="AB17" s="2" t="s">
        <v>20</v>
      </c>
      <c r="AC17" s="2" t="s">
        <v>21</v>
      </c>
      <c r="AD17" s="8" t="s">
        <v>22</v>
      </c>
      <c r="AE17" s="2" t="s">
        <v>23</v>
      </c>
      <c r="AF17" s="2" t="s">
        <v>24</v>
      </c>
      <c r="AG17" s="2" t="s">
        <v>25</v>
      </c>
      <c r="AH17" s="2" t="s">
        <v>26</v>
      </c>
      <c r="AI17" s="8" t="s">
        <v>40</v>
      </c>
      <c r="AJ17" s="8" t="s">
        <v>41</v>
      </c>
      <c r="AK17" s="8" t="s">
        <v>42</v>
      </c>
      <c r="AL17" s="7" t="s">
        <v>43</v>
      </c>
      <c r="AM17" s="7" t="s">
        <v>44</v>
      </c>
      <c r="AN17" s="7" t="s">
        <v>45</v>
      </c>
      <c r="AO17" s="9" t="s">
        <v>49</v>
      </c>
      <c r="AP17" s="9" t="s">
        <v>50</v>
      </c>
      <c r="AQ17" s="9" t="s">
        <v>51</v>
      </c>
    </row>
    <row r="18" spans="1:43" ht="19" x14ac:dyDescent="0.2">
      <c r="A18" s="23"/>
      <c r="B18" s="17"/>
      <c r="C18" s="17"/>
      <c r="D18" s="17"/>
      <c r="E18" s="17"/>
      <c r="F18" s="17"/>
      <c r="G18" s="24"/>
      <c r="I18" s="11">
        <v>0</v>
      </c>
      <c r="J18" s="11" t="s">
        <v>13</v>
      </c>
      <c r="K18" s="11" t="s">
        <v>13</v>
      </c>
      <c r="L18" s="11" t="s">
        <v>13</v>
      </c>
      <c r="M18" s="11" t="s">
        <v>13</v>
      </c>
      <c r="N18" s="11" t="s">
        <v>13</v>
      </c>
      <c r="O18" s="11" t="s">
        <v>13</v>
      </c>
      <c r="P18" s="11" t="s">
        <v>13</v>
      </c>
      <c r="Q18" s="11" t="s">
        <v>13</v>
      </c>
      <c r="R18" s="11" t="s">
        <v>13</v>
      </c>
      <c r="S18" s="11" t="s">
        <v>13</v>
      </c>
      <c r="T18" s="11" t="s">
        <v>13</v>
      </c>
      <c r="U18" s="11" t="s">
        <v>13</v>
      </c>
      <c r="V18" s="11" t="s">
        <v>13</v>
      </c>
      <c r="W18" s="11" t="s">
        <v>13</v>
      </c>
      <c r="X18" s="11" t="s">
        <v>13</v>
      </c>
      <c r="Y18" s="11" t="s">
        <v>13</v>
      </c>
      <c r="Z18" s="11" t="s">
        <v>13</v>
      </c>
      <c r="AA18" s="11" t="s">
        <v>13</v>
      </c>
      <c r="AB18" s="11" t="s">
        <v>13</v>
      </c>
      <c r="AC18" s="11" t="s">
        <v>13</v>
      </c>
      <c r="AD18" s="11" t="s">
        <v>13</v>
      </c>
      <c r="AE18" s="11" t="s">
        <v>13</v>
      </c>
      <c r="AF18" s="11" t="s">
        <v>13</v>
      </c>
      <c r="AG18" s="11" t="s">
        <v>13</v>
      </c>
      <c r="AH18" s="11" t="s">
        <v>13</v>
      </c>
      <c r="AI18" s="11" t="s">
        <v>13</v>
      </c>
      <c r="AJ18" s="11" t="s">
        <v>13</v>
      </c>
      <c r="AK18" s="11" t="s">
        <v>13</v>
      </c>
      <c r="AL18" s="11" t="s">
        <v>13</v>
      </c>
      <c r="AM18" s="11" t="s">
        <v>13</v>
      </c>
      <c r="AN18" s="11" t="s">
        <v>13</v>
      </c>
      <c r="AO18" s="11" t="s">
        <v>13</v>
      </c>
      <c r="AP18" s="11" t="s">
        <v>13</v>
      </c>
      <c r="AQ18" s="11" t="s">
        <v>13</v>
      </c>
    </row>
    <row r="19" spans="1:43" ht="22.5" customHeight="1" x14ac:dyDescent="0.2">
      <c r="A19" s="25" t="s">
        <v>47</v>
      </c>
      <c r="B19" s="26">
        <f>IF(OR(ISNUMBER(SEARCH("PRISME",$B$8)),ISNUMBER(SEARCH("TITAPLY",$B$8))),ROUND($B$12/($B$13*$B$14/1000000)/3600,2),ROUND($B$12/(592*592/1000000)/3600,2))</f>
        <v>2.38</v>
      </c>
      <c r="C19" s="19" t="s">
        <v>10</v>
      </c>
      <c r="D19" s="17"/>
      <c r="E19" s="19" t="s">
        <v>54</v>
      </c>
      <c r="F19" s="34" cm="1">
        <f t="array" ref="F19">ROUNDUP((Débit*((_xlfn.SWITCH(Changement_du_filtre,"Selon EN13053 : perte de charge initiale + 100Pa",100+Perte_de_charge_initiale,"Recommandation TITANAIR : perte de charge initiale x 2",2*Perte_de_charge_initiale))/2*0.85)*(Durée_de_fonctionnement*Nombre_de_jours_par_an))/(3600*1000*(Rendement_ventilateur/100)),0)</f>
        <v>646</v>
      </c>
      <c r="G19" s="27" t="s">
        <v>11</v>
      </c>
      <c r="I19" s="11">
        <v>300</v>
      </c>
      <c r="J19" s="11" t="s">
        <v>13</v>
      </c>
      <c r="K19" s="11" t="s">
        <v>13</v>
      </c>
      <c r="L19" s="11" t="s">
        <v>13</v>
      </c>
      <c r="M19" s="11" t="s">
        <v>13</v>
      </c>
      <c r="N19" s="11" t="s">
        <v>13</v>
      </c>
      <c r="O19" s="11" t="s">
        <v>13</v>
      </c>
      <c r="P19" s="11" t="s">
        <v>13</v>
      </c>
      <c r="Q19" s="11" t="s">
        <v>13</v>
      </c>
      <c r="R19" s="11" t="s">
        <v>13</v>
      </c>
      <c r="S19" s="11" t="s">
        <v>13</v>
      </c>
      <c r="T19" s="11" t="s">
        <v>13</v>
      </c>
      <c r="U19" s="11" t="s">
        <v>13</v>
      </c>
      <c r="V19" s="11" t="s">
        <v>13</v>
      </c>
      <c r="W19" s="11" t="s">
        <v>13</v>
      </c>
      <c r="X19" s="11" t="s">
        <v>13</v>
      </c>
      <c r="Y19" s="11" t="s">
        <v>13</v>
      </c>
      <c r="Z19" s="11" t="s">
        <v>13</v>
      </c>
      <c r="AA19" s="11" t="s">
        <v>13</v>
      </c>
      <c r="AB19" s="11" t="s">
        <v>13</v>
      </c>
      <c r="AC19" s="11" t="s">
        <v>13</v>
      </c>
      <c r="AD19" s="11" t="s">
        <v>13</v>
      </c>
      <c r="AE19" s="11" t="s">
        <v>13</v>
      </c>
      <c r="AF19" s="11" t="s">
        <v>13</v>
      </c>
      <c r="AG19" s="11" t="s">
        <v>13</v>
      </c>
      <c r="AH19" s="11" t="s">
        <v>13</v>
      </c>
      <c r="AI19" s="11" t="s">
        <v>13</v>
      </c>
      <c r="AJ19" s="11" t="s">
        <v>13</v>
      </c>
      <c r="AK19" s="11" t="s">
        <v>13</v>
      </c>
      <c r="AL19" s="11" t="s">
        <v>13</v>
      </c>
      <c r="AM19" s="11" t="s">
        <v>13</v>
      </c>
      <c r="AN19" s="11" t="s">
        <v>13</v>
      </c>
      <c r="AO19" s="11" t="s">
        <v>13</v>
      </c>
      <c r="AP19" s="11" t="s">
        <v>13</v>
      </c>
      <c r="AQ19" s="11" t="s">
        <v>13</v>
      </c>
    </row>
    <row r="20" spans="1:43" ht="22.5" customHeight="1" x14ac:dyDescent="0.2">
      <c r="A20" s="25" t="s">
        <v>46</v>
      </c>
      <c r="B20" s="28">
        <f>ROUND(VLOOKUP($B$8,Feuil1!$A$2:$D$34,2,FALSE)*'Classement GT'!$B$19^2+VLOOKUP($B$8,Feuil1!$A$2:$D$34,3,FALSE)*'Classement GT'!$B$19+VLOOKUP($B$8,Feuil1!$A$2:$D$34,4,FALSE),0)</f>
        <v>52</v>
      </c>
      <c r="C20" s="19" t="s">
        <v>12</v>
      </c>
      <c r="D20" s="17"/>
      <c r="E20" s="19" t="s">
        <v>69</v>
      </c>
      <c r="F20" s="40">
        <f>ROUND(F19*Coût_de_l_énergie,2)</f>
        <v>96.9</v>
      </c>
      <c r="G20" s="27" t="s">
        <v>53</v>
      </c>
      <c r="I20" s="11">
        <v>350</v>
      </c>
      <c r="J20" s="11" t="s">
        <v>14</v>
      </c>
      <c r="K20" s="11" t="s">
        <v>14</v>
      </c>
      <c r="L20" s="11" t="s">
        <v>14</v>
      </c>
      <c r="M20" s="11" t="s">
        <v>14</v>
      </c>
      <c r="N20" s="11" t="s">
        <v>13</v>
      </c>
      <c r="O20" s="11" t="s">
        <v>13</v>
      </c>
      <c r="P20" s="11" t="s">
        <v>13</v>
      </c>
      <c r="Q20" s="11" t="s">
        <v>13</v>
      </c>
      <c r="R20" s="11" t="s">
        <v>13</v>
      </c>
      <c r="S20" s="11" t="s">
        <v>13</v>
      </c>
      <c r="T20" s="11" t="s">
        <v>13</v>
      </c>
      <c r="U20" s="11" t="s">
        <v>13</v>
      </c>
      <c r="V20" s="11" t="s">
        <v>13</v>
      </c>
      <c r="W20" s="11" t="s">
        <v>14</v>
      </c>
      <c r="X20" s="11" t="s">
        <v>14</v>
      </c>
      <c r="Y20" s="11" t="s">
        <v>14</v>
      </c>
      <c r="Z20" s="11" t="s">
        <v>14</v>
      </c>
      <c r="AA20" s="11" t="s">
        <v>14</v>
      </c>
      <c r="AB20" s="11" t="s">
        <v>14</v>
      </c>
      <c r="AC20" s="11" t="s">
        <v>14</v>
      </c>
      <c r="AD20" s="11" t="s">
        <v>13</v>
      </c>
      <c r="AE20" s="11" t="s">
        <v>13</v>
      </c>
      <c r="AF20" s="11" t="s">
        <v>13</v>
      </c>
      <c r="AG20" s="11" t="s">
        <v>13</v>
      </c>
      <c r="AH20" s="11" t="s">
        <v>13</v>
      </c>
      <c r="AI20" s="11" t="s">
        <v>13</v>
      </c>
      <c r="AJ20" s="11" t="s">
        <v>13</v>
      </c>
      <c r="AK20" s="11" t="s">
        <v>13</v>
      </c>
      <c r="AL20" s="11" t="s">
        <v>13</v>
      </c>
      <c r="AM20" s="11" t="s">
        <v>13</v>
      </c>
      <c r="AN20" s="11" t="s">
        <v>13</v>
      </c>
      <c r="AO20" s="11" t="s">
        <v>13</v>
      </c>
      <c r="AP20" s="11" t="s">
        <v>13</v>
      </c>
      <c r="AQ20" s="11" t="s">
        <v>13</v>
      </c>
    </row>
    <row r="21" spans="1:43" ht="19" x14ac:dyDescent="0.2">
      <c r="A21" s="29"/>
      <c r="B21" s="30"/>
      <c r="E21" s="19" t="s">
        <v>61</v>
      </c>
      <c r="F21" s="41">
        <f>ROUND(F19*0.079,2)</f>
        <v>51.03</v>
      </c>
      <c r="G21" s="27" t="s">
        <v>27</v>
      </c>
      <c r="I21" s="11">
        <v>400</v>
      </c>
      <c r="J21" s="11" t="s">
        <v>14</v>
      </c>
      <c r="K21" s="11" t="s">
        <v>14</v>
      </c>
      <c r="L21" s="11" t="s">
        <v>14</v>
      </c>
      <c r="M21" s="11" t="s">
        <v>14</v>
      </c>
      <c r="N21" s="11" t="s">
        <v>13</v>
      </c>
      <c r="O21" s="11" t="s">
        <v>13</v>
      </c>
      <c r="P21" s="11" t="s">
        <v>13</v>
      </c>
      <c r="Q21" s="11" t="s">
        <v>13</v>
      </c>
      <c r="R21" s="11" t="s">
        <v>13</v>
      </c>
      <c r="S21" s="11" t="s">
        <v>13</v>
      </c>
      <c r="T21" s="11" t="s">
        <v>13</v>
      </c>
      <c r="U21" s="11" t="s">
        <v>13</v>
      </c>
      <c r="V21" s="11" t="s">
        <v>13</v>
      </c>
      <c r="W21" s="11" t="s">
        <v>14</v>
      </c>
      <c r="X21" s="11" t="s">
        <v>14</v>
      </c>
      <c r="Y21" s="11" t="s">
        <v>14</v>
      </c>
      <c r="Z21" s="11" t="s">
        <v>14</v>
      </c>
      <c r="AA21" s="11" t="s">
        <v>14</v>
      </c>
      <c r="AB21" s="11" t="s">
        <v>14</v>
      </c>
      <c r="AC21" s="11" t="s">
        <v>14</v>
      </c>
      <c r="AD21" s="11" t="s">
        <v>13</v>
      </c>
      <c r="AE21" s="11" t="s">
        <v>13</v>
      </c>
      <c r="AF21" s="11" t="s">
        <v>13</v>
      </c>
      <c r="AG21" s="11" t="s">
        <v>13</v>
      </c>
      <c r="AH21" s="11" t="s">
        <v>13</v>
      </c>
      <c r="AI21" s="11" t="s">
        <v>13</v>
      </c>
      <c r="AJ21" s="11" t="s">
        <v>13</v>
      </c>
      <c r="AK21" s="11" t="s">
        <v>13</v>
      </c>
      <c r="AL21" s="11" t="s">
        <v>13</v>
      </c>
      <c r="AM21" s="11" t="s">
        <v>13</v>
      </c>
      <c r="AN21" s="11" t="s">
        <v>13</v>
      </c>
      <c r="AO21" s="11" t="s">
        <v>13</v>
      </c>
      <c r="AP21" s="11" t="s">
        <v>13</v>
      </c>
      <c r="AQ21" s="11" t="s">
        <v>13</v>
      </c>
    </row>
    <row r="22" spans="1:43" x14ac:dyDescent="0.2">
      <c r="A22" s="29"/>
      <c r="B22" s="30"/>
      <c r="F22" s="12"/>
      <c r="G22" s="31"/>
      <c r="I22" s="11">
        <v>450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14</v>
      </c>
      <c r="O22" s="11" t="s">
        <v>14</v>
      </c>
      <c r="P22" s="11" t="s">
        <v>14</v>
      </c>
      <c r="Q22" s="11" t="s">
        <v>14</v>
      </c>
      <c r="R22" s="11" t="s">
        <v>14</v>
      </c>
      <c r="S22" s="11" t="s">
        <v>14</v>
      </c>
      <c r="T22" s="11" t="s">
        <v>14</v>
      </c>
      <c r="U22" s="11" t="s">
        <v>13</v>
      </c>
      <c r="V22" s="11" t="s">
        <v>13</v>
      </c>
      <c r="W22" s="11" t="s">
        <v>15</v>
      </c>
      <c r="X22" s="11" t="s">
        <v>15</v>
      </c>
      <c r="Y22" s="11" t="s">
        <v>15</v>
      </c>
      <c r="Z22" s="11" t="s">
        <v>15</v>
      </c>
      <c r="AA22" s="11" t="s">
        <v>15</v>
      </c>
      <c r="AB22" s="11" t="s">
        <v>15</v>
      </c>
      <c r="AC22" s="11" t="s">
        <v>15</v>
      </c>
      <c r="AD22" s="11" t="s">
        <v>14</v>
      </c>
      <c r="AE22" s="11" t="s">
        <v>14</v>
      </c>
      <c r="AF22" s="11" t="s">
        <v>14</v>
      </c>
      <c r="AG22" s="11" t="s">
        <v>14</v>
      </c>
      <c r="AH22" s="11" t="s">
        <v>14</v>
      </c>
      <c r="AI22" s="11" t="s">
        <v>14</v>
      </c>
      <c r="AJ22" s="11" t="s">
        <v>14</v>
      </c>
      <c r="AK22" s="11" t="s">
        <v>13</v>
      </c>
      <c r="AL22" s="11" t="s">
        <v>14</v>
      </c>
      <c r="AM22" s="11" t="s">
        <v>14</v>
      </c>
      <c r="AN22" s="11" t="s">
        <v>13</v>
      </c>
      <c r="AO22" s="11" t="s">
        <v>13</v>
      </c>
      <c r="AP22" s="11" t="s">
        <v>13</v>
      </c>
      <c r="AQ22" s="11" t="s">
        <v>13</v>
      </c>
    </row>
    <row r="23" spans="1:43" x14ac:dyDescent="0.2">
      <c r="A23" s="29"/>
      <c r="E23" s="51" t="s">
        <v>48</v>
      </c>
      <c r="F23" s="49" t="str">
        <f>INDEX($J$18:$AQ$32,MATCH($F$19,$I$18:$I$32,1),MATCH($B$8,$J$17:$AQ$17,0))</f>
        <v>A+</v>
      </c>
      <c r="G23" s="31"/>
      <c r="I23" s="11">
        <v>500</v>
      </c>
      <c r="J23" s="11" t="s">
        <v>16</v>
      </c>
      <c r="K23" s="11" t="s">
        <v>16</v>
      </c>
      <c r="L23" s="11" t="s">
        <v>16</v>
      </c>
      <c r="M23" s="11" t="s">
        <v>16</v>
      </c>
      <c r="N23" s="11" t="s">
        <v>14</v>
      </c>
      <c r="O23" s="11" t="s">
        <v>14</v>
      </c>
      <c r="P23" s="11" t="s">
        <v>14</v>
      </c>
      <c r="Q23" s="11" t="s">
        <v>14</v>
      </c>
      <c r="R23" s="11" t="s">
        <v>14</v>
      </c>
      <c r="S23" s="11" t="s">
        <v>14</v>
      </c>
      <c r="T23" s="11" t="s">
        <v>14</v>
      </c>
      <c r="U23" s="11" t="s">
        <v>14</v>
      </c>
      <c r="V23" s="11" t="s">
        <v>14</v>
      </c>
      <c r="W23" s="11" t="s">
        <v>16</v>
      </c>
      <c r="X23" s="11" t="s">
        <v>16</v>
      </c>
      <c r="Y23" s="11" t="s">
        <v>16</v>
      </c>
      <c r="Z23" s="11" t="s">
        <v>16</v>
      </c>
      <c r="AA23" s="11" t="s">
        <v>16</v>
      </c>
      <c r="AB23" s="11" t="s">
        <v>16</v>
      </c>
      <c r="AC23" s="11" t="s">
        <v>16</v>
      </c>
      <c r="AD23" s="11" t="s">
        <v>14</v>
      </c>
      <c r="AE23" s="11" t="s">
        <v>14</v>
      </c>
      <c r="AF23" s="11" t="s">
        <v>14</v>
      </c>
      <c r="AG23" s="11" t="s">
        <v>14</v>
      </c>
      <c r="AH23" s="11" t="s">
        <v>14</v>
      </c>
      <c r="AI23" s="11" t="s">
        <v>14</v>
      </c>
      <c r="AJ23" s="11" t="s">
        <v>14</v>
      </c>
      <c r="AK23" s="11" t="s">
        <v>14</v>
      </c>
      <c r="AL23" s="11" t="s">
        <v>14</v>
      </c>
      <c r="AM23" s="11" t="s">
        <v>14</v>
      </c>
      <c r="AN23" s="11" t="s">
        <v>14</v>
      </c>
      <c r="AO23" s="11" t="s">
        <v>14</v>
      </c>
      <c r="AP23" s="11" t="s">
        <v>14</v>
      </c>
      <c r="AQ23" s="11" t="s">
        <v>14</v>
      </c>
    </row>
    <row r="24" spans="1:43" ht="16.5" customHeight="1" thickBot="1" x14ac:dyDescent="0.25">
      <c r="A24" s="47"/>
      <c r="B24" s="48"/>
      <c r="C24" s="32"/>
      <c r="D24" s="32"/>
      <c r="E24" s="52"/>
      <c r="F24" s="50"/>
      <c r="G24" s="33"/>
      <c r="I24" s="11">
        <v>600</v>
      </c>
      <c r="J24" s="11" t="s">
        <v>17</v>
      </c>
      <c r="K24" s="11" t="s">
        <v>17</v>
      </c>
      <c r="L24" s="11" t="s">
        <v>17</v>
      </c>
      <c r="M24" s="11" t="s">
        <v>17</v>
      </c>
      <c r="N24" s="11" t="s">
        <v>15</v>
      </c>
      <c r="O24" s="11" t="s">
        <v>15</v>
      </c>
      <c r="P24" s="11" t="s">
        <v>15</v>
      </c>
      <c r="Q24" s="11" t="s">
        <v>14</v>
      </c>
      <c r="R24" s="11" t="s">
        <v>14</v>
      </c>
      <c r="S24" s="11" t="s">
        <v>14</v>
      </c>
      <c r="T24" s="11" t="s">
        <v>14</v>
      </c>
      <c r="U24" s="11" t="s">
        <v>14</v>
      </c>
      <c r="V24" s="11" t="s">
        <v>14</v>
      </c>
      <c r="W24" s="11" t="s">
        <v>17</v>
      </c>
      <c r="X24" s="11" t="s">
        <v>17</v>
      </c>
      <c r="Y24" s="11" t="s">
        <v>17</v>
      </c>
      <c r="Z24" s="11" t="s">
        <v>17</v>
      </c>
      <c r="AA24" s="11" t="s">
        <v>17</v>
      </c>
      <c r="AB24" s="11" t="s">
        <v>17</v>
      </c>
      <c r="AC24" s="11" t="s">
        <v>17</v>
      </c>
      <c r="AD24" s="11" t="s">
        <v>15</v>
      </c>
      <c r="AE24" s="11" t="s">
        <v>15</v>
      </c>
      <c r="AF24" s="11" t="s">
        <v>15</v>
      </c>
      <c r="AG24" s="11" t="s">
        <v>14</v>
      </c>
      <c r="AH24" s="11" t="s">
        <v>14</v>
      </c>
      <c r="AI24" s="11" t="s">
        <v>15</v>
      </c>
      <c r="AJ24" s="11" t="s">
        <v>14</v>
      </c>
      <c r="AK24" s="11" t="s">
        <v>14</v>
      </c>
      <c r="AL24" s="11" t="s">
        <v>15</v>
      </c>
      <c r="AM24" s="11" t="s">
        <v>14</v>
      </c>
      <c r="AN24" s="11" t="s">
        <v>14</v>
      </c>
      <c r="AO24" s="11" t="s">
        <v>14</v>
      </c>
      <c r="AP24" s="11" t="s">
        <v>14</v>
      </c>
      <c r="AQ24" s="11" t="s">
        <v>14</v>
      </c>
    </row>
    <row r="25" spans="1:43" ht="15.75" customHeight="1" x14ac:dyDescent="0.2">
      <c r="I25" s="11">
        <v>700</v>
      </c>
      <c r="J25" s="11" t="s">
        <v>18</v>
      </c>
      <c r="K25" s="11" t="s">
        <v>18</v>
      </c>
      <c r="L25" s="11" t="s">
        <v>18</v>
      </c>
      <c r="M25" s="11" t="s">
        <v>18</v>
      </c>
      <c r="N25" s="11" t="s">
        <v>15</v>
      </c>
      <c r="O25" s="11" t="s">
        <v>15</v>
      </c>
      <c r="P25" s="11" t="s">
        <v>15</v>
      </c>
      <c r="Q25" s="11" t="s">
        <v>15</v>
      </c>
      <c r="R25" s="11" t="s">
        <v>15</v>
      </c>
      <c r="S25" s="11" t="s">
        <v>15</v>
      </c>
      <c r="T25" s="11" t="s">
        <v>15</v>
      </c>
      <c r="U25" s="11" t="s">
        <v>15</v>
      </c>
      <c r="V25" s="11" t="s">
        <v>15</v>
      </c>
      <c r="W25" s="11" t="s">
        <v>18</v>
      </c>
      <c r="X25" s="11" t="s">
        <v>18</v>
      </c>
      <c r="Y25" s="11" t="s">
        <v>18</v>
      </c>
      <c r="Z25" s="11" t="s">
        <v>18</v>
      </c>
      <c r="AA25" s="11" t="s">
        <v>18</v>
      </c>
      <c r="AB25" s="11" t="s">
        <v>18</v>
      </c>
      <c r="AC25" s="11" t="s">
        <v>18</v>
      </c>
      <c r="AD25" s="11" t="s">
        <v>15</v>
      </c>
      <c r="AE25" s="11" t="s">
        <v>15</v>
      </c>
      <c r="AF25" s="11" t="s">
        <v>15</v>
      </c>
      <c r="AG25" s="11" t="s">
        <v>15</v>
      </c>
      <c r="AH25" s="11" t="s">
        <v>15</v>
      </c>
      <c r="AI25" s="11" t="s">
        <v>15</v>
      </c>
      <c r="AJ25" s="11" t="s">
        <v>15</v>
      </c>
      <c r="AK25" s="11" t="s">
        <v>15</v>
      </c>
      <c r="AL25" s="11" t="s">
        <v>15</v>
      </c>
      <c r="AM25" s="11" t="s">
        <v>15</v>
      </c>
      <c r="AN25" s="11" t="s">
        <v>15</v>
      </c>
      <c r="AO25" s="11" t="s">
        <v>15</v>
      </c>
      <c r="AP25" s="11" t="s">
        <v>15</v>
      </c>
      <c r="AQ25" s="11" t="s">
        <v>15</v>
      </c>
    </row>
    <row r="26" spans="1:43" ht="15.75" customHeight="1" x14ac:dyDescent="0.2">
      <c r="I26" s="11">
        <v>800</v>
      </c>
      <c r="J26" s="11" t="s">
        <v>18</v>
      </c>
      <c r="K26" s="11" t="s">
        <v>18</v>
      </c>
      <c r="L26" s="11" t="s">
        <v>18</v>
      </c>
      <c r="M26" s="11" t="s">
        <v>18</v>
      </c>
      <c r="N26" s="11" t="s">
        <v>16</v>
      </c>
      <c r="O26" s="11" t="s">
        <v>16</v>
      </c>
      <c r="P26" s="11" t="s">
        <v>16</v>
      </c>
      <c r="Q26" s="11" t="s">
        <v>15</v>
      </c>
      <c r="R26" s="11" t="s">
        <v>15</v>
      </c>
      <c r="S26" s="11" t="s">
        <v>15</v>
      </c>
      <c r="T26" s="11" t="s">
        <v>15</v>
      </c>
      <c r="U26" s="11" t="s">
        <v>15</v>
      </c>
      <c r="V26" s="11" t="s">
        <v>15</v>
      </c>
      <c r="W26" s="11" t="s">
        <v>18</v>
      </c>
      <c r="X26" s="11" t="s">
        <v>18</v>
      </c>
      <c r="Y26" s="11" t="s">
        <v>18</v>
      </c>
      <c r="Z26" s="11" t="s">
        <v>18</v>
      </c>
      <c r="AA26" s="11" t="s">
        <v>18</v>
      </c>
      <c r="AB26" s="11" t="s">
        <v>18</v>
      </c>
      <c r="AC26" s="11" t="s">
        <v>18</v>
      </c>
      <c r="AD26" s="11" t="s">
        <v>16</v>
      </c>
      <c r="AE26" s="11" t="s">
        <v>16</v>
      </c>
      <c r="AF26" s="11" t="s">
        <v>16</v>
      </c>
      <c r="AG26" s="11" t="s">
        <v>15</v>
      </c>
      <c r="AH26" s="11" t="s">
        <v>15</v>
      </c>
      <c r="AI26" s="11" t="s">
        <v>16</v>
      </c>
      <c r="AJ26" s="11" t="s">
        <v>15</v>
      </c>
      <c r="AK26" s="11" t="s">
        <v>15</v>
      </c>
      <c r="AL26" s="11" t="s">
        <v>16</v>
      </c>
      <c r="AM26" s="11" t="s">
        <v>15</v>
      </c>
      <c r="AN26" s="11" t="s">
        <v>15</v>
      </c>
      <c r="AO26" s="11" t="s">
        <v>15</v>
      </c>
      <c r="AP26" s="11" t="s">
        <v>15</v>
      </c>
      <c r="AQ26" s="11" t="s">
        <v>15</v>
      </c>
    </row>
    <row r="27" spans="1:43" x14ac:dyDescent="0.2">
      <c r="I27" s="11">
        <v>900</v>
      </c>
      <c r="J27" s="11" t="s">
        <v>18</v>
      </c>
      <c r="K27" s="11" t="s">
        <v>18</v>
      </c>
      <c r="L27" s="11" t="s">
        <v>18</v>
      </c>
      <c r="M27" s="11" t="s">
        <v>18</v>
      </c>
      <c r="N27" s="11" t="s">
        <v>16</v>
      </c>
      <c r="O27" s="11" t="s">
        <v>16</v>
      </c>
      <c r="P27" s="11" t="s">
        <v>16</v>
      </c>
      <c r="Q27" s="11" t="s">
        <v>16</v>
      </c>
      <c r="R27" s="11" t="s">
        <v>16</v>
      </c>
      <c r="S27" s="11" t="s">
        <v>16</v>
      </c>
      <c r="T27" s="11" t="s">
        <v>16</v>
      </c>
      <c r="U27" s="11" t="s">
        <v>16</v>
      </c>
      <c r="V27" s="11" t="s">
        <v>16</v>
      </c>
      <c r="W27" s="11" t="s">
        <v>18</v>
      </c>
      <c r="X27" s="11" t="s">
        <v>18</v>
      </c>
      <c r="Y27" s="11" t="s">
        <v>18</v>
      </c>
      <c r="Z27" s="11" t="s">
        <v>18</v>
      </c>
      <c r="AA27" s="11" t="s">
        <v>18</v>
      </c>
      <c r="AB27" s="11" t="s">
        <v>18</v>
      </c>
      <c r="AC27" s="11" t="s">
        <v>18</v>
      </c>
      <c r="AD27" s="11" t="s">
        <v>16</v>
      </c>
      <c r="AE27" s="11" t="s">
        <v>16</v>
      </c>
      <c r="AF27" s="11" t="s">
        <v>16</v>
      </c>
      <c r="AG27" s="11" t="s">
        <v>16</v>
      </c>
      <c r="AH27" s="11" t="s">
        <v>16</v>
      </c>
      <c r="AI27" s="11" t="s">
        <v>16</v>
      </c>
      <c r="AJ27" s="11" t="s">
        <v>16</v>
      </c>
      <c r="AK27" s="11" t="s">
        <v>16</v>
      </c>
      <c r="AL27" s="11" t="s">
        <v>16</v>
      </c>
      <c r="AM27" s="11" t="s">
        <v>16</v>
      </c>
      <c r="AN27" s="11" t="s">
        <v>16</v>
      </c>
      <c r="AO27" s="11" t="s">
        <v>16</v>
      </c>
      <c r="AP27" s="11" t="s">
        <v>16</v>
      </c>
      <c r="AQ27" s="11" t="s">
        <v>16</v>
      </c>
    </row>
    <row r="28" spans="1:43" x14ac:dyDescent="0.2">
      <c r="I28" s="11">
        <v>1000</v>
      </c>
      <c r="J28" s="11" t="s">
        <v>18</v>
      </c>
      <c r="K28" s="11" t="s">
        <v>18</v>
      </c>
      <c r="L28" s="11" t="s">
        <v>18</v>
      </c>
      <c r="M28" s="11" t="s">
        <v>18</v>
      </c>
      <c r="N28" s="11" t="s">
        <v>17</v>
      </c>
      <c r="O28" s="11" t="s">
        <v>17</v>
      </c>
      <c r="P28" s="11" t="s">
        <v>17</v>
      </c>
      <c r="Q28" s="11" t="s">
        <v>16</v>
      </c>
      <c r="R28" s="11" t="s">
        <v>16</v>
      </c>
      <c r="S28" s="11" t="s">
        <v>16</v>
      </c>
      <c r="T28" s="11" t="s">
        <v>16</v>
      </c>
      <c r="U28" s="11" t="s">
        <v>16</v>
      </c>
      <c r="V28" s="11" t="s">
        <v>16</v>
      </c>
      <c r="W28" s="11" t="s">
        <v>18</v>
      </c>
      <c r="X28" s="11" t="s">
        <v>18</v>
      </c>
      <c r="Y28" s="11" t="s">
        <v>18</v>
      </c>
      <c r="Z28" s="11" t="s">
        <v>18</v>
      </c>
      <c r="AA28" s="11" t="s">
        <v>18</v>
      </c>
      <c r="AB28" s="11" t="s">
        <v>18</v>
      </c>
      <c r="AC28" s="11" t="s">
        <v>18</v>
      </c>
      <c r="AD28" s="11" t="s">
        <v>17</v>
      </c>
      <c r="AE28" s="11" t="s">
        <v>17</v>
      </c>
      <c r="AF28" s="11" t="s">
        <v>17</v>
      </c>
      <c r="AG28" s="11" t="s">
        <v>16</v>
      </c>
      <c r="AH28" s="11" t="s">
        <v>16</v>
      </c>
      <c r="AI28" s="11" t="s">
        <v>17</v>
      </c>
      <c r="AJ28" s="11" t="s">
        <v>16</v>
      </c>
      <c r="AK28" s="11" t="s">
        <v>16</v>
      </c>
      <c r="AL28" s="11" t="s">
        <v>17</v>
      </c>
      <c r="AM28" s="11" t="s">
        <v>16</v>
      </c>
      <c r="AN28" s="11" t="s">
        <v>16</v>
      </c>
      <c r="AO28" s="11" t="s">
        <v>16</v>
      </c>
      <c r="AP28" s="11" t="s">
        <v>16</v>
      </c>
      <c r="AQ28" s="11" t="s">
        <v>16</v>
      </c>
    </row>
    <row r="29" spans="1:43" x14ac:dyDescent="0.2">
      <c r="I29" s="11">
        <v>1100</v>
      </c>
      <c r="J29" s="11" t="s">
        <v>18</v>
      </c>
      <c r="K29" s="11" t="s">
        <v>18</v>
      </c>
      <c r="L29" s="11" t="s">
        <v>18</v>
      </c>
      <c r="M29" s="11" t="s">
        <v>18</v>
      </c>
      <c r="N29" s="11" t="s">
        <v>17</v>
      </c>
      <c r="O29" s="11" t="s">
        <v>17</v>
      </c>
      <c r="P29" s="11" t="s">
        <v>17</v>
      </c>
      <c r="Q29" s="11" t="s">
        <v>17</v>
      </c>
      <c r="R29" s="11" t="s">
        <v>17</v>
      </c>
      <c r="S29" s="11" t="s">
        <v>17</v>
      </c>
      <c r="T29" s="11" t="s">
        <v>17</v>
      </c>
      <c r="U29" s="11" t="s">
        <v>17</v>
      </c>
      <c r="V29" s="11" t="s">
        <v>17</v>
      </c>
      <c r="W29" s="11" t="s">
        <v>18</v>
      </c>
      <c r="X29" s="11" t="s">
        <v>18</v>
      </c>
      <c r="Y29" s="11" t="s">
        <v>18</v>
      </c>
      <c r="Z29" s="11" t="s">
        <v>18</v>
      </c>
      <c r="AA29" s="11" t="s">
        <v>18</v>
      </c>
      <c r="AB29" s="11" t="s">
        <v>18</v>
      </c>
      <c r="AC29" s="11" t="s">
        <v>18</v>
      </c>
      <c r="AD29" s="11" t="s">
        <v>17</v>
      </c>
      <c r="AE29" s="11" t="s">
        <v>17</v>
      </c>
      <c r="AF29" s="11" t="s">
        <v>17</v>
      </c>
      <c r="AG29" s="11" t="s">
        <v>17</v>
      </c>
      <c r="AH29" s="11" t="s">
        <v>17</v>
      </c>
      <c r="AI29" s="11" t="s">
        <v>17</v>
      </c>
      <c r="AJ29" s="11" t="s">
        <v>17</v>
      </c>
      <c r="AK29" s="11" t="s">
        <v>17</v>
      </c>
      <c r="AL29" s="11" t="s">
        <v>17</v>
      </c>
      <c r="AM29" s="11" t="s">
        <v>17</v>
      </c>
      <c r="AN29" s="11" t="s">
        <v>17</v>
      </c>
      <c r="AO29" s="11" t="s">
        <v>17</v>
      </c>
      <c r="AP29" s="11" t="s">
        <v>17</v>
      </c>
      <c r="AQ29" s="11" t="s">
        <v>17</v>
      </c>
    </row>
    <row r="30" spans="1:43" x14ac:dyDescent="0.2">
      <c r="I30" s="11">
        <v>1200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17</v>
      </c>
      <c r="R30" s="11" t="s">
        <v>17</v>
      </c>
      <c r="S30" s="11" t="s">
        <v>17</v>
      </c>
      <c r="T30" s="11" t="s">
        <v>17</v>
      </c>
      <c r="U30" s="11" t="s">
        <v>17</v>
      </c>
      <c r="V30" s="11" t="s">
        <v>17</v>
      </c>
      <c r="W30" s="11" t="s">
        <v>18</v>
      </c>
      <c r="X30" s="11" t="s">
        <v>18</v>
      </c>
      <c r="Y30" s="11" t="s">
        <v>18</v>
      </c>
      <c r="Z30" s="11" t="s">
        <v>18</v>
      </c>
      <c r="AA30" s="11" t="s">
        <v>18</v>
      </c>
      <c r="AB30" s="11" t="s">
        <v>18</v>
      </c>
      <c r="AC30" s="11" t="s">
        <v>18</v>
      </c>
      <c r="AD30" s="11" t="s">
        <v>18</v>
      </c>
      <c r="AE30" s="11" t="s">
        <v>18</v>
      </c>
      <c r="AF30" s="11" t="s">
        <v>18</v>
      </c>
      <c r="AG30" s="11" t="s">
        <v>17</v>
      </c>
      <c r="AH30" s="11" t="s">
        <v>17</v>
      </c>
      <c r="AI30" s="11" t="s">
        <v>18</v>
      </c>
      <c r="AJ30" s="11" t="s">
        <v>17</v>
      </c>
      <c r="AK30" s="11" t="s">
        <v>17</v>
      </c>
      <c r="AL30" s="11" t="s">
        <v>18</v>
      </c>
      <c r="AM30" s="11" t="s">
        <v>17</v>
      </c>
      <c r="AN30" s="11" t="s">
        <v>17</v>
      </c>
      <c r="AO30" s="11" t="s">
        <v>17</v>
      </c>
      <c r="AP30" s="11" t="s">
        <v>17</v>
      </c>
      <c r="AQ30" s="11" t="s">
        <v>17</v>
      </c>
    </row>
    <row r="31" spans="1:43" x14ac:dyDescent="0.2">
      <c r="I31" s="11">
        <v>1300</v>
      </c>
      <c r="J31" s="11" t="s">
        <v>18</v>
      </c>
      <c r="K31" s="11" t="s">
        <v>18</v>
      </c>
      <c r="L31" s="11" t="s">
        <v>18</v>
      </c>
      <c r="M31" s="11" t="s">
        <v>18</v>
      </c>
      <c r="N31" s="11" t="s">
        <v>18</v>
      </c>
      <c r="O31" s="11" t="s">
        <v>18</v>
      </c>
      <c r="P31" s="11" t="s">
        <v>18</v>
      </c>
      <c r="Q31" s="11" t="s">
        <v>18</v>
      </c>
      <c r="R31" s="11" t="s">
        <v>18</v>
      </c>
      <c r="S31" s="11" t="s">
        <v>18</v>
      </c>
      <c r="T31" s="11" t="s">
        <v>18</v>
      </c>
      <c r="U31" s="11" t="s">
        <v>18</v>
      </c>
      <c r="V31" s="11" t="s">
        <v>18</v>
      </c>
      <c r="W31" s="11" t="s">
        <v>18</v>
      </c>
      <c r="X31" s="11" t="s">
        <v>18</v>
      </c>
      <c r="Y31" s="11" t="s">
        <v>18</v>
      </c>
      <c r="Z31" s="11" t="s">
        <v>18</v>
      </c>
      <c r="AA31" s="11" t="s">
        <v>18</v>
      </c>
      <c r="AB31" s="11" t="s">
        <v>18</v>
      </c>
      <c r="AC31" s="11" t="s">
        <v>18</v>
      </c>
      <c r="AD31" s="11" t="s">
        <v>18</v>
      </c>
      <c r="AE31" s="11" t="s">
        <v>18</v>
      </c>
      <c r="AF31" s="11" t="s">
        <v>18</v>
      </c>
      <c r="AG31" s="11" t="s">
        <v>18</v>
      </c>
      <c r="AH31" s="11" t="s">
        <v>18</v>
      </c>
      <c r="AI31" s="11" t="s">
        <v>18</v>
      </c>
      <c r="AJ31" s="11" t="s">
        <v>18</v>
      </c>
      <c r="AK31" s="11" t="s">
        <v>18</v>
      </c>
      <c r="AL31" s="11" t="s">
        <v>18</v>
      </c>
      <c r="AM31" s="11" t="s">
        <v>18</v>
      </c>
      <c r="AN31" s="11" t="s">
        <v>18</v>
      </c>
      <c r="AO31" s="11" t="s">
        <v>18</v>
      </c>
      <c r="AP31" s="11" t="s">
        <v>18</v>
      </c>
      <c r="AQ31" s="11" t="s">
        <v>18</v>
      </c>
    </row>
    <row r="32" spans="1:43" x14ac:dyDescent="0.2">
      <c r="I32" s="11">
        <v>1400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  <c r="V32" s="11" t="s">
        <v>18</v>
      </c>
      <c r="W32" s="11" t="s">
        <v>18</v>
      </c>
      <c r="X32" s="11" t="s">
        <v>18</v>
      </c>
      <c r="Y32" s="11" t="s">
        <v>18</v>
      </c>
      <c r="Z32" s="11" t="s">
        <v>18</v>
      </c>
      <c r="AA32" s="11" t="s">
        <v>18</v>
      </c>
      <c r="AB32" s="11" t="s">
        <v>18</v>
      </c>
      <c r="AC32" s="11" t="s">
        <v>18</v>
      </c>
      <c r="AD32" s="11" t="s">
        <v>18</v>
      </c>
      <c r="AE32" s="11" t="s">
        <v>18</v>
      </c>
      <c r="AF32" s="11" t="s">
        <v>18</v>
      </c>
      <c r="AG32" s="11" t="s">
        <v>18</v>
      </c>
      <c r="AH32" s="11" t="s">
        <v>18</v>
      </c>
      <c r="AI32" s="11" t="s">
        <v>18</v>
      </c>
      <c r="AJ32" s="11" t="s">
        <v>18</v>
      </c>
      <c r="AK32" s="11" t="s">
        <v>18</v>
      </c>
      <c r="AL32" s="11" t="s">
        <v>18</v>
      </c>
      <c r="AM32" s="11" t="s">
        <v>18</v>
      </c>
      <c r="AN32" s="11" t="s">
        <v>18</v>
      </c>
      <c r="AO32" s="11" t="s">
        <v>18</v>
      </c>
      <c r="AP32" s="11" t="s">
        <v>18</v>
      </c>
      <c r="AQ32" s="11" t="s">
        <v>18</v>
      </c>
    </row>
    <row r="36" spans="9:10" x14ac:dyDescent="0.2">
      <c r="I36" s="11">
        <v>150</v>
      </c>
      <c r="J36" s="13">
        <f>I36*2</f>
        <v>300</v>
      </c>
    </row>
    <row r="37" spans="9:10" x14ac:dyDescent="0.2">
      <c r="I37" s="11">
        <v>175</v>
      </c>
      <c r="J37" s="13">
        <f t="shared" ref="J37:J49" si="0">I37*2</f>
        <v>350</v>
      </c>
    </row>
    <row r="38" spans="9:10" x14ac:dyDescent="0.2">
      <c r="I38" s="11">
        <v>200</v>
      </c>
      <c r="J38" s="13">
        <f t="shared" si="0"/>
        <v>400</v>
      </c>
    </row>
    <row r="39" spans="9:10" x14ac:dyDescent="0.2">
      <c r="I39" s="11">
        <v>225</v>
      </c>
      <c r="J39" s="13">
        <f t="shared" si="0"/>
        <v>450</v>
      </c>
    </row>
    <row r="40" spans="9:10" x14ac:dyDescent="0.2">
      <c r="I40" s="11">
        <v>250</v>
      </c>
      <c r="J40" s="13">
        <f t="shared" si="0"/>
        <v>500</v>
      </c>
    </row>
    <row r="41" spans="9:10" x14ac:dyDescent="0.2">
      <c r="I41" s="11">
        <v>300</v>
      </c>
      <c r="J41" s="13">
        <f t="shared" si="0"/>
        <v>600</v>
      </c>
    </row>
    <row r="42" spans="9:10" x14ac:dyDescent="0.2">
      <c r="I42" s="11">
        <v>350</v>
      </c>
      <c r="J42" s="13">
        <f t="shared" si="0"/>
        <v>700</v>
      </c>
    </row>
    <row r="43" spans="9:10" x14ac:dyDescent="0.2">
      <c r="I43" s="11">
        <v>400</v>
      </c>
      <c r="J43" s="13">
        <f t="shared" si="0"/>
        <v>800</v>
      </c>
    </row>
    <row r="44" spans="9:10" x14ac:dyDescent="0.2">
      <c r="I44" s="11">
        <v>450</v>
      </c>
      <c r="J44" s="13">
        <f t="shared" si="0"/>
        <v>900</v>
      </c>
    </row>
    <row r="45" spans="9:10" x14ac:dyDescent="0.2">
      <c r="I45" s="11">
        <v>500</v>
      </c>
      <c r="J45" s="13">
        <f t="shared" si="0"/>
        <v>1000</v>
      </c>
    </row>
    <row r="46" spans="9:10" x14ac:dyDescent="0.2">
      <c r="I46" s="11">
        <v>550</v>
      </c>
      <c r="J46" s="13">
        <f t="shared" si="0"/>
        <v>1100</v>
      </c>
    </row>
    <row r="47" spans="9:10" x14ac:dyDescent="0.2">
      <c r="I47" s="11">
        <v>600</v>
      </c>
      <c r="J47" s="13">
        <f t="shared" si="0"/>
        <v>1200</v>
      </c>
    </row>
    <row r="48" spans="9:10" x14ac:dyDescent="0.2">
      <c r="I48" s="11">
        <v>650</v>
      </c>
      <c r="J48" s="13">
        <f t="shared" si="0"/>
        <v>1300</v>
      </c>
    </row>
    <row r="49" spans="9:10" x14ac:dyDescent="0.2">
      <c r="I49" s="11">
        <v>700</v>
      </c>
      <c r="J49" s="13">
        <f t="shared" si="0"/>
        <v>1400</v>
      </c>
    </row>
  </sheetData>
  <sheetProtection algorithmName="SHA-512" hashValue="E0lqww8sUXGDgR+l1z9NpSizTgg2MAtHEpQJu5T7dFb6oaf7sUGJDIdv+A69kFc3RXqnPtQGifID9lXFwGgRZg==" saltValue="J13noMkb3ex39z4LFOiAvA==" spinCount="100000" sheet="1" objects="1" scenarios="1"/>
  <mergeCells count="7">
    <mergeCell ref="A5:G5"/>
    <mergeCell ref="B8:E8"/>
    <mergeCell ref="A17:G17"/>
    <mergeCell ref="A24:B24"/>
    <mergeCell ref="F23:F24"/>
    <mergeCell ref="E23:E24"/>
    <mergeCell ref="B10:E10"/>
  </mergeCells>
  <conditionalFormatting sqref="F23:F24">
    <cfRule type="containsText" dxfId="3" priority="1" operator="containsText" text="C">
      <formula>NOT(ISERROR(SEARCH("C",F23)))</formula>
    </cfRule>
    <cfRule type="containsText" dxfId="2" priority="2" operator="containsText" text="B">
      <formula>NOT(ISERROR(SEARCH("B",F23)))</formula>
    </cfRule>
    <cfRule type="containsText" dxfId="1" priority="3" operator="containsText" text="D">
      <formula>NOT(ISERROR(SEARCH("D",F23)))</formula>
    </cfRule>
    <cfRule type="containsText" dxfId="0" priority="4" operator="containsText" text="A">
      <formula>NOT(ISERROR(SEARCH("A",F23)))</formula>
    </cfRule>
  </conditionalFormatting>
  <dataValidations disablePrompts="1" count="2">
    <dataValidation type="list" allowBlank="1" showInputMessage="1" showErrorMessage="1" sqref="B10:E10" xr:uid="{F2F2A487-3B63-4E92-A05B-D2F2D9E1FB33}">
      <formula1>"Selon EN13053 : perte de charge initiale + 100Pa,Recommandation TITANAIR : perte de charge initiale x 2"</formula1>
    </dataValidation>
    <dataValidation type="whole" allowBlank="1" showInputMessage="1" showErrorMessage="1" sqref="F12" xr:uid="{55FD9048-E445-436A-8A11-E602C0F1F48D}">
      <formula1>1</formula1>
      <formula2>24</formula2>
    </dataValidation>
  </dataValidations>
  <pageMargins left="0.7" right="0.7" top="0.75" bottom="0.75" header="0.3" footer="0.3"/>
  <pageSetup paperSize="9" scale="8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2B26BB1-6DD0-4B23-B071-4E5C56E13D7D}">
          <x14:formula1>
            <xm:f>Feuil1!$A$2:$A$34</xm:f>
          </x14:formula1>
          <xm:sqref>B8:E8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2484-DA91-48FE-A0DE-43FDA0FBB06B}">
  <sheetPr codeName="Feuil2"/>
  <dimension ref="A1:N34"/>
  <sheetViews>
    <sheetView workbookViewId="0">
      <selection activeCell="E17" sqref="E17"/>
    </sheetView>
  </sheetViews>
  <sheetFormatPr baseColWidth="10" defaultRowHeight="16" x14ac:dyDescent="0.2"/>
  <cols>
    <col min="1" max="1" width="38.33203125" customWidth="1"/>
    <col min="2" max="4" width="12.33203125" customWidth="1"/>
    <col min="5" max="5" width="30.83203125" customWidth="1"/>
  </cols>
  <sheetData>
    <row r="1" spans="1:4" x14ac:dyDescent="0.2">
      <c r="B1" s="3" t="s">
        <v>15</v>
      </c>
      <c r="C1" s="3" t="s">
        <v>16</v>
      </c>
      <c r="D1" s="3" t="s">
        <v>17</v>
      </c>
    </row>
    <row r="2" spans="1:4" x14ac:dyDescent="0.2">
      <c r="A2" s="7" t="s">
        <v>30</v>
      </c>
      <c r="B2" s="1">
        <v>6.43</v>
      </c>
      <c r="C2" s="1">
        <v>9.7899999999999991</v>
      </c>
      <c r="D2" s="1">
        <v>-0.75</v>
      </c>
    </row>
    <row r="3" spans="1:4" x14ac:dyDescent="0.2">
      <c r="A3" s="7" t="s">
        <v>35</v>
      </c>
      <c r="B3" s="1">
        <v>5.2</v>
      </c>
      <c r="C3" s="1">
        <v>9.75</v>
      </c>
      <c r="D3" s="1">
        <v>-7.0000000000000007E-2</v>
      </c>
    </row>
    <row r="4" spans="1:4" x14ac:dyDescent="0.2">
      <c r="A4" s="7" t="s">
        <v>31</v>
      </c>
      <c r="B4" s="1">
        <v>4.41</v>
      </c>
      <c r="C4" s="1">
        <v>24.89</v>
      </c>
      <c r="D4" s="1">
        <v>-3.47</v>
      </c>
    </row>
    <row r="5" spans="1:4" x14ac:dyDescent="0.2">
      <c r="A5" s="7" t="s">
        <v>36</v>
      </c>
      <c r="B5" s="1">
        <v>5.8</v>
      </c>
      <c r="C5" s="1">
        <v>12.3</v>
      </c>
      <c r="D5" s="1">
        <v>1.64</v>
      </c>
    </row>
    <row r="6" spans="1:4" x14ac:dyDescent="0.2">
      <c r="A6" s="7" t="s">
        <v>32</v>
      </c>
      <c r="B6" s="1">
        <v>6.45</v>
      </c>
      <c r="C6" s="1">
        <v>16.399999999999999</v>
      </c>
      <c r="D6" s="1">
        <v>2.61</v>
      </c>
    </row>
    <row r="7" spans="1:4" x14ac:dyDescent="0.2">
      <c r="A7" s="7" t="s">
        <v>37</v>
      </c>
      <c r="B7" s="1" t="s">
        <v>57</v>
      </c>
      <c r="C7" s="1">
        <v>9.85</v>
      </c>
      <c r="D7" s="1">
        <v>4.96</v>
      </c>
    </row>
    <row r="8" spans="1:4" x14ac:dyDescent="0.2">
      <c r="A8" s="35" t="s">
        <v>55</v>
      </c>
      <c r="B8" s="1">
        <v>2.4098999999999999</v>
      </c>
      <c r="C8" s="1">
        <v>17.721</v>
      </c>
      <c r="D8" s="1">
        <v>-3.9882</v>
      </c>
    </row>
    <row r="9" spans="1:4" x14ac:dyDescent="0.2">
      <c r="A9" s="35" t="s">
        <v>56</v>
      </c>
      <c r="B9" s="1">
        <v>5.8826000000000001</v>
      </c>
      <c r="C9" s="1">
        <v>7.9161000000000001</v>
      </c>
      <c r="D9" s="1">
        <v>0.75590000000000002</v>
      </c>
    </row>
    <row r="10" spans="1:4" x14ac:dyDescent="0.2">
      <c r="A10" s="7" t="s">
        <v>33</v>
      </c>
      <c r="B10" s="1">
        <v>8.51</v>
      </c>
      <c r="C10" s="1">
        <v>33.49</v>
      </c>
      <c r="D10" s="1">
        <v>2.34</v>
      </c>
    </row>
    <row r="11" spans="1:4" x14ac:dyDescent="0.2">
      <c r="A11" s="7" t="s">
        <v>38</v>
      </c>
      <c r="B11" s="1">
        <v>7.59</v>
      </c>
      <c r="C11" s="1">
        <v>18.440000000000001</v>
      </c>
      <c r="D11" s="1">
        <v>2.39</v>
      </c>
    </row>
    <row r="12" spans="1:4" x14ac:dyDescent="0.2">
      <c r="A12" s="7" t="s">
        <v>34</v>
      </c>
      <c r="B12" s="1">
        <v>9.4700000000000006</v>
      </c>
      <c r="C12" s="1">
        <v>37.29</v>
      </c>
      <c r="D12" s="1">
        <v>2.52</v>
      </c>
    </row>
    <row r="13" spans="1:4" x14ac:dyDescent="0.2">
      <c r="A13" s="7" t="s">
        <v>39</v>
      </c>
      <c r="B13" s="1">
        <v>8.2899999999999991</v>
      </c>
      <c r="C13" s="1">
        <v>20.97</v>
      </c>
      <c r="D13" s="1">
        <v>2.3199999999999998</v>
      </c>
    </row>
    <row r="14" spans="1:4" x14ac:dyDescent="0.2">
      <c r="A14" s="37" t="s">
        <v>59</v>
      </c>
      <c r="B14" s="1">
        <v>6.19</v>
      </c>
      <c r="C14" s="1">
        <v>9.0399999999999991</v>
      </c>
      <c r="D14" s="1">
        <v>0.13</v>
      </c>
    </row>
    <row r="15" spans="1:4" x14ac:dyDescent="0.2">
      <c r="A15" s="37" t="s">
        <v>60</v>
      </c>
      <c r="B15" s="1">
        <v>6.2</v>
      </c>
      <c r="C15" s="1">
        <v>7.22</v>
      </c>
      <c r="D15" s="1">
        <v>-2.14</v>
      </c>
    </row>
    <row r="16" spans="1:4" x14ac:dyDescent="0.2">
      <c r="A16" s="6" t="s">
        <v>28</v>
      </c>
      <c r="B16" s="1">
        <v>5.2</v>
      </c>
      <c r="C16" s="1">
        <v>10.38</v>
      </c>
      <c r="D16" s="1">
        <v>-2.62</v>
      </c>
    </row>
    <row r="17" spans="1:14" x14ac:dyDescent="0.2">
      <c r="A17" s="6" t="s">
        <v>29</v>
      </c>
      <c r="B17" s="1">
        <v>6.27</v>
      </c>
      <c r="C17" s="1">
        <v>5.37</v>
      </c>
      <c r="D17" s="1">
        <v>-0.7</v>
      </c>
    </row>
    <row r="18" spans="1:14" x14ac:dyDescent="0.2">
      <c r="A18" s="2" t="s">
        <v>19</v>
      </c>
      <c r="B18" s="1">
        <v>7.28</v>
      </c>
      <c r="C18" s="1">
        <v>7.21</v>
      </c>
      <c r="D18" s="1">
        <v>9.85</v>
      </c>
      <c r="N18" t="s">
        <v>58</v>
      </c>
    </row>
    <row r="19" spans="1:14" x14ac:dyDescent="0.2">
      <c r="A19" s="2" t="s">
        <v>20</v>
      </c>
      <c r="B19" s="1">
        <v>3.84</v>
      </c>
      <c r="C19" s="1">
        <v>11.3</v>
      </c>
      <c r="D19" s="1">
        <v>6.35</v>
      </c>
    </row>
    <row r="20" spans="1:14" x14ac:dyDescent="0.2">
      <c r="A20" s="2" t="s">
        <v>21</v>
      </c>
      <c r="B20" s="1">
        <v>3.59</v>
      </c>
      <c r="C20" s="1">
        <v>4.92</v>
      </c>
      <c r="D20" s="1">
        <v>8.98</v>
      </c>
    </row>
    <row r="21" spans="1:14" x14ac:dyDescent="0.2">
      <c r="A21" s="2" t="s">
        <v>22</v>
      </c>
      <c r="B21" s="1">
        <v>9.06</v>
      </c>
      <c r="C21" s="1">
        <v>43.81</v>
      </c>
      <c r="D21" s="1">
        <v>-9.09</v>
      </c>
    </row>
    <row r="22" spans="1:14" x14ac:dyDescent="0.2">
      <c r="A22" s="2" t="s">
        <v>23</v>
      </c>
      <c r="B22" s="1">
        <v>5.74</v>
      </c>
      <c r="C22" s="1">
        <v>22.42</v>
      </c>
      <c r="D22" s="1">
        <v>3.5</v>
      </c>
    </row>
    <row r="23" spans="1:14" x14ac:dyDescent="0.2">
      <c r="A23" s="2" t="s">
        <v>24</v>
      </c>
      <c r="B23" s="1">
        <v>7.68</v>
      </c>
      <c r="C23" s="1">
        <v>13.14</v>
      </c>
      <c r="D23" s="1">
        <v>10</v>
      </c>
    </row>
    <row r="24" spans="1:14" x14ac:dyDescent="0.2">
      <c r="A24" s="2" t="s">
        <v>25</v>
      </c>
      <c r="B24" s="1">
        <v>4.7300000000000004</v>
      </c>
      <c r="C24" s="1">
        <v>63.54</v>
      </c>
      <c r="D24" s="1">
        <v>-13.54</v>
      </c>
    </row>
    <row r="25" spans="1:14" x14ac:dyDescent="0.2">
      <c r="A25" s="2" t="s">
        <v>26</v>
      </c>
      <c r="B25" s="1">
        <v>6.01</v>
      </c>
      <c r="C25" s="1">
        <v>29.68</v>
      </c>
      <c r="D25" s="1">
        <v>4.4800000000000004</v>
      </c>
    </row>
    <row r="26" spans="1:14" x14ac:dyDescent="0.2">
      <c r="A26" s="9" t="s">
        <v>49</v>
      </c>
      <c r="B26" s="1">
        <v>15.3</v>
      </c>
      <c r="C26" s="1">
        <v>47.89</v>
      </c>
      <c r="D26" s="1">
        <v>14.04</v>
      </c>
    </row>
    <row r="27" spans="1:14" x14ac:dyDescent="0.2">
      <c r="A27" s="9" t="s">
        <v>50</v>
      </c>
      <c r="B27" s="1">
        <v>9.4499999999999993</v>
      </c>
      <c r="C27" s="1">
        <v>30.39</v>
      </c>
      <c r="D27" s="1">
        <v>8.2899999999999991</v>
      </c>
    </row>
    <row r="28" spans="1:14" x14ac:dyDescent="0.2">
      <c r="A28" s="9" t="s">
        <v>51</v>
      </c>
      <c r="B28" s="1">
        <v>8.17</v>
      </c>
      <c r="C28" s="1">
        <v>28.23</v>
      </c>
      <c r="D28" s="1">
        <v>6.4</v>
      </c>
    </row>
    <row r="29" spans="1:14" x14ac:dyDescent="0.2">
      <c r="A29" s="8" t="s">
        <v>40</v>
      </c>
      <c r="B29" s="1">
        <v>13.78</v>
      </c>
      <c r="C29" s="1">
        <v>-10.59</v>
      </c>
      <c r="D29" s="1">
        <v>11.16</v>
      </c>
    </row>
    <row r="30" spans="1:14" x14ac:dyDescent="0.2">
      <c r="A30" s="8" t="s">
        <v>41</v>
      </c>
      <c r="B30" s="1">
        <v>10.76</v>
      </c>
      <c r="C30" s="1">
        <v>1.18</v>
      </c>
      <c r="D30" s="1">
        <v>3</v>
      </c>
      <c r="E30" s="5"/>
    </row>
    <row r="31" spans="1:14" x14ac:dyDescent="0.2">
      <c r="A31" s="8" t="s">
        <v>42</v>
      </c>
      <c r="B31" s="1">
        <v>11.29</v>
      </c>
      <c r="C31" s="1">
        <v>0.78</v>
      </c>
      <c r="D31" s="1">
        <v>3.93</v>
      </c>
      <c r="E31" s="5"/>
    </row>
    <row r="32" spans="1:14" x14ac:dyDescent="0.2">
      <c r="A32" s="7" t="s">
        <v>43</v>
      </c>
      <c r="B32" s="1">
        <v>13.78</v>
      </c>
      <c r="C32" s="1">
        <v>-10.59</v>
      </c>
      <c r="D32" s="1">
        <v>11.16</v>
      </c>
      <c r="E32" s="4"/>
    </row>
    <row r="33" spans="1:5" x14ac:dyDescent="0.2">
      <c r="A33" s="7" t="s">
        <v>44</v>
      </c>
      <c r="B33" s="1">
        <v>10.76</v>
      </c>
      <c r="C33" s="1">
        <v>1.18</v>
      </c>
      <c r="D33" s="1">
        <v>3</v>
      </c>
      <c r="E33" s="4"/>
    </row>
    <row r="34" spans="1:5" x14ac:dyDescent="0.2">
      <c r="A34" s="7" t="s">
        <v>45</v>
      </c>
      <c r="B34" s="1">
        <v>11.29</v>
      </c>
      <c r="C34" s="1">
        <v>0.78</v>
      </c>
      <c r="D34" s="1">
        <v>3.93</v>
      </c>
      <c r="E34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99d3b-7633-4543-98ae-2bcdcfa68837" xsi:nil="true"/>
    <lcf76f155ced4ddcb4097134ff3c332f xmlns="3ca2d4d6-7e13-4e30-ad6f-c481c67316b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555FF2FFD41499CEFDDCEE5D1E9F7" ma:contentTypeVersion="12" ma:contentTypeDescription="Crée un document." ma:contentTypeScope="" ma:versionID="f232489083ea5586c6401ebb434cb612">
  <xsd:schema xmlns:xsd="http://www.w3.org/2001/XMLSchema" xmlns:xs="http://www.w3.org/2001/XMLSchema" xmlns:p="http://schemas.microsoft.com/office/2006/metadata/properties" xmlns:ns2="3ca2d4d6-7e13-4e30-ad6f-c481c67316bf" xmlns:ns3="dd899d3b-7633-4543-98ae-2bcdcfa68837" targetNamespace="http://schemas.microsoft.com/office/2006/metadata/properties" ma:root="true" ma:fieldsID="2e3cd13921dc94012272a1fc67e3ca24" ns2:_="" ns3:_="">
    <xsd:import namespace="3ca2d4d6-7e13-4e30-ad6f-c481c67316bf"/>
    <xsd:import namespace="dd899d3b-7633-4543-98ae-2bcdcfa688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2d4d6-7e13-4e30-ad6f-c481c67316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ff50ebf-c6de-4f63-86e9-34bbeea2ae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99d3b-7633-4543-98ae-2bcdcfa688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9d4580e-44f7-43ab-8b49-716d3f0c379e}" ma:internalName="TaxCatchAll" ma:showField="CatchAllData" ma:web="dd899d3b-7633-4543-98ae-2bcdcfa688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316E97-DBC9-47AC-98EB-B321C02C6F43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3ca2d4d6-7e13-4e30-ad6f-c481c67316bf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dd899d3b-7633-4543-98ae-2bcdcfa68837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EBAD393-1B89-47C5-B163-F8FB2CCC17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a2d4d6-7e13-4e30-ad6f-c481c67316bf"/>
    <ds:schemaRef ds:uri="dd899d3b-7633-4543-98ae-2bcdcfa688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28357A-3B36-4426-BAF8-592B958A2E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12</vt:i4>
      </vt:variant>
    </vt:vector>
  </HeadingPairs>
  <TitlesOfParts>
    <vt:vector size="13" baseType="lpstr">
      <vt:lpstr>Classement GT</vt:lpstr>
      <vt:lpstr>Changement_du_filtre</vt:lpstr>
      <vt:lpstr>Coût_de_l_énergie</vt:lpstr>
      <vt:lpstr>Débit</vt:lpstr>
      <vt:lpstr>Durée_de_fonctionnement</vt:lpstr>
      <vt:lpstr>Durée_de_fonctionnement_Journée</vt:lpstr>
      <vt:lpstr>Largeur</vt:lpstr>
      <vt:lpstr>Longueur</vt:lpstr>
      <vt:lpstr>Nombre_de_jours_par_an</vt:lpstr>
      <vt:lpstr>Perte_de_charge_initiale</vt:lpstr>
      <vt:lpstr>Rendement_ventilateur</vt:lpstr>
      <vt:lpstr>Vitesse_d_air_frontale</vt:lpstr>
      <vt:lpstr>'Classement GT'!Zone_d_impression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</dc:creator>
  <cp:lastModifiedBy>Pierre-Alain DUCLOS</cp:lastModifiedBy>
  <cp:lastPrinted>2022-06-02T07:02:20Z</cp:lastPrinted>
  <dcterms:created xsi:type="dcterms:W3CDTF">2019-10-22T15:35:20Z</dcterms:created>
  <dcterms:modified xsi:type="dcterms:W3CDTF">2026-06-19T22:04:05Z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0x010100E49555FF2FFD41499CEFDDCEE5D1E9F7</vt:lpwstr>
  </property>
  <property fmtid="{D5CDD505-2E9C-101B-9397-08002B2CF9AE}" pid="3" name="Order">
    <vt:r8>11200</vt:r8>
  </property>
  <property fmtid="{D5CDD505-2E9C-101B-9397-08002B2CF9AE}" pid="4" name="MediaServiceImageTags">
    <vt:lpwstr/>
  </property>
</Properties>
</file>