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G2 / G3</t>
        </is>
      </c>
      <c r="E8" s="36" t="inlineStr">
        <is>
          <t>ISO Coarse</t>
        </is>
      </c>
      <c r="F8" s="36" t="n"/>
      <c r="G8" s="34" t="inlineStr">
        <is>
          <t>592×592×__</t>
        </is>
      </c>
      <c r="H8" s="37" t="n"/>
      <c r="I8" s="37" t="n"/>
      <c r="J8" s="37" t="n"/>
      <c r="K8" s="37" t="n"/>
      <c r="L8" s="37" t="n"/>
      <c r="M8" s="37" t="n"/>
      <c r="N8" s="37" t="n"/>
      <c r="O8" s="38">
        <f>IFERROR(IF(COUNT($H8:$N8)=7,INDEX(LINEST($H8:$N8,$H$6:$N$6^{1;2}),1,1),""),"")</f>
        <v/>
      </c>
      <c r="P8" s="38">
        <f>IFERROR(IF(COUNT($H8:$N8)=7,INDEX(LINEST($H8:$N8,$H$6:$N$6^{1;2}),1,2),""),"")</f>
        <v/>
      </c>
      <c r="Q8" s="38">
        <f>IFERROR(IF(COUNT($H8:$N8)=7,INDEX(LINEST($H8:$N8,$H$6:$N$6^{1;2}),1,3),""),"")</f>
        <v/>
      </c>
      <c r="R8" s="39">
        <f>IFERROR(IF(COUNT($H8:$N8)=7,INDEX(LINEST($H8:$N8,$H$6:$N$6^{1;2},TRUE(),TRUE()),3,1),""),"")</f>
        <v/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>
        <f>IFERROR(IF(O8="","",O8*($H$3/3600/$C$3)^2+P8*($H$3/3600/$C$3)+Q8),"")</f>
        <v/>
      </c>
      <c r="V8" s="36" t="n"/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G2 → M5</t>
        </is>
      </c>
      <c r="E9" s="36" t="inlineStr">
        <is>
          <t>ISO Coarse → ePM10</t>
        </is>
      </c>
      <c r="F9" s="36" t="n"/>
      <c r="G9" s="34" t="inlineStr">
        <is>
          <t>rouleau</t>
        </is>
      </c>
      <c r="H9" s="37" t="n"/>
      <c r="I9" s="37" t="n"/>
      <c r="J9" s="37" t="n"/>
      <c r="K9" s="37" t="n"/>
      <c r="L9" s="37" t="n"/>
      <c r="M9" s="37" t="n"/>
      <c r="N9" s="37" t="n"/>
      <c r="O9" s="38">
        <f>IFERROR(IF(COUNT($H9:$N9)=7,INDEX(LINEST($H9:$N9,$H$6:$N$6^{1;2}),1,1),""),"")</f>
        <v/>
      </c>
      <c r="P9" s="38">
        <f>IFERROR(IF(COUNT($H9:$N9)=7,INDEX(LINEST($H9:$N9,$H$6:$N$6^{1;2}),1,2),""),"")</f>
        <v/>
      </c>
      <c r="Q9" s="38">
        <f>IFERROR(IF(COUNT($H9:$N9)=7,INDEX(LINEST($H9:$N9,$H$6:$N$6^{1;2}),1,3),""),"")</f>
        <v/>
      </c>
      <c r="R9" s="39">
        <f>IFERROR(IF(COUNT($H9:$N9)=7,INDEX(LINEST($H9:$N9,$H$6:$N$6^{1;2},TRUE(),TRUE()),3,1),""),"")</f>
        <v/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>
        <f>IFERROR(IF(O9="","",O9*($H$3/3600/$C$3)^2+P9*($H$3/3600/$C$3)+Q9),"")</f>
        <v/>
      </c>
      <c r="V9" s="36" t="n"/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n"/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n"/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NETPAK V LAM</t>
        </is>
      </c>
      <c r="D22" s="36" t="inlineStr">
        <is>
          <t>H14</t>
        </is>
      </c>
      <c r="E22" s="36" t="inlineStr">
        <is>
          <t>ISO 15 U</t>
        </is>
      </c>
      <c r="F22" s="36" t="n"/>
      <c r="G22" s="34" t="inlineStr">
        <is>
          <t>610×610×__</t>
        </is>
      </c>
      <c r="H22" s="37" t="n"/>
      <c r="I22" s="37" t="n"/>
      <c r="J22" s="37" t="n"/>
      <c r="K22" s="37" t="n"/>
      <c r="L22" s="37" t="n"/>
      <c r="M22" s="37" t="n"/>
      <c r="N22" s="37" t="n"/>
      <c r="O22" s="38">
        <f>IFERROR(IF(COUNT($H22:$N22)=7,INDEX(LINEST($H22:$N22,$H$6:$N$6^{1;2}),1,1),""),"")</f>
        <v/>
      </c>
      <c r="P22" s="38">
        <f>IFERROR(IF(COUNT($H22:$N22)=7,INDEX(LINEST($H22:$N22,$H$6:$N$6^{1;2}),1,2),""),"")</f>
        <v/>
      </c>
      <c r="Q22" s="38">
        <f>IFERROR(IF(COUNT($H22:$N22)=7,INDEX(LINEST($H22:$N22,$H$6:$N$6^{1;2}),1,3),""),"")</f>
        <v/>
      </c>
      <c r="R22" s="39">
        <f>IFERROR(IF(COUNT($H22:$N22)=7,INDEX(LINEST($H22:$N22,$H$6:$N$6^{1;2},TRUE(),TRUE()),3,1),""),"")</f>
        <v/>
      </c>
      <c r="S22" s="40">
        <f>IF(O22="","",TEXT(O22,"0.00")&amp;"·v² "&amp;IF(P22&gt;=0,"+ ","− ")&amp;TEXT(ABS(P22),"0.00")&amp;"·v "&amp;IF(Q22&gt;=0,"+ ","− ")&amp;TEXT(ABS(Q22),"0.00"))</f>
        <v/>
      </c>
      <c r="T22" s="41">
        <f>COUNT($H22:$N22)</f>
        <v/>
      </c>
      <c r="U22" s="41">
        <f>IFERROR(IF(O22="","",O22*($H$3/3600/$C$3)^2+P22*($H$3/3600/$C$3)+Q22),"")</f>
        <v/>
      </c>
      <c r="V22" s="36" t="n"/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 + CA</t>
        </is>
      </c>
      <c r="E27" s="36" t="inlineStr">
        <is>
          <t>ePM1 55% + Mol.</t>
        </is>
      </c>
      <c r="F27" s="36" t="n"/>
      <c r="G27" s="34" t="inlineStr">
        <is>
          <t>592×592×98</t>
        </is>
      </c>
      <c r="H27" s="37" t="n"/>
      <c r="I27" s="37" t="n"/>
      <c r="J27" s="37" t="n"/>
      <c r="K27" s="37" t="n"/>
      <c r="L27" s="37" t="n"/>
      <c r="M27" s="37" t="n"/>
      <c r="N27" s="37" t="n"/>
      <c r="O27" s="38">
        <f>IFERROR(IF(COUNT($H27:$N27)=7,INDEX(LINEST($H27:$N27,$H$6:$N$6^{1;2}),1,1),""),"")</f>
        <v/>
      </c>
      <c r="P27" s="38">
        <f>IFERROR(IF(COUNT($H27:$N27)=7,INDEX(LINEST($H27:$N27,$H$6:$N$6^{1;2}),1,2),""),"")</f>
        <v/>
      </c>
      <c r="Q27" s="38">
        <f>IFERROR(IF(COUNT($H27:$N27)=7,INDEX(LINEST($H27:$N27,$H$6:$N$6^{1;2}),1,3),""),"")</f>
        <v/>
      </c>
      <c r="R27" s="39">
        <f>IFERROR(IF(COUNT($H27:$N27)=7,INDEX(LINEST($H27:$N27,$H$6:$N$6^{1;2},TRUE(),TRUE()),3,1),""),"")</f>
        <v/>
      </c>
      <c r="S27" s="40">
        <f>IF(O27="","",TEXT(O27,"0.00")&amp;"·v² "&amp;IF(P27&gt;=0,"+ ","− ")&amp;TEXT(ABS(P27),"0.00")&amp;"·v "&amp;IF(Q27&gt;=0,"+ ","− ")&amp;TEXT(ABS(Q27),"0.00"))</f>
        <v/>
      </c>
      <c r="T27" s="41">
        <f>COUNT($H27:$N27)</f>
        <v/>
      </c>
      <c r="U27" s="41">
        <f>IFERROR(IF(O27="","",O27*($H$3/3600/$C$3)^2+P27*($H$3/3600/$C$3)+Q27),"")</f>
        <v/>
      </c>
      <c r="V27" s="36" t="n"/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2026-06-21T23:03:27Z</dcterms:modified>
  <cp:revision>0</cp:revision>
</cp:coreProperties>
</file>