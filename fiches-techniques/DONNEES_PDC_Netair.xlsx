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134</v>
      </c>
      <c r="V57" s="36" t="inlineStr">
        <is>
          <t>Mode HEPA (ΔP finale=2×init). Cache Excel TITAPAK V GD E10 : débit [1000-3500] → ΔP [50,79,108,140,176,212].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31.8</v>
      </c>
      <c r="P58" s="38" t="n">
        <v>119.76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[400-2400] → ΔP [25,75,131,188,250,331]. Extrapolé &gt;2400.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  <row r="61">
      <c r="A61" s="33" t="inlineStr">
        <is>
          <t>FT-NETCARB-AZUR</t>
        </is>
      </c>
      <c r="B61" s="34" t="inlineStr">
        <is>
          <t>Charbon actif</t>
        </is>
      </c>
      <c r="C61" s="35" t="inlineStr">
        <is>
          <t>NETCARB AZUR</t>
        </is>
      </c>
      <c r="D61" s="36" t="inlineStr">
        <is>
          <t>—</t>
        </is>
      </c>
      <c r="E61" s="36" t="inlineStr">
        <is>
          <t>Moléculaire (ISO 10121)</t>
        </is>
      </c>
      <c r="F61" s="36" t="n">
        <v>292</v>
      </c>
      <c r="G61" s="34" t="inlineStr">
        <is>
          <t>592×592×292</t>
        </is>
      </c>
      <c r="H61" s="37" t="n">
        <v>18</v>
      </c>
      <c r="I61" s="37" t="n">
        <v>31</v>
      </c>
      <c r="J61" s="37" t="n">
        <v>45</v>
      </c>
      <c r="K61" s="37" t="n">
        <v>61</v>
      </c>
      <c r="L61" s="37" t="n">
        <v>79</v>
      </c>
      <c r="M61" s="37" t="n">
        <v>103</v>
      </c>
      <c r="N61" s="37" t="n"/>
      <c r="O61" s="38">
        <f>IFERROR(IF(COUNT($H61:$N61)=7,INDEX(LINEST($H61:$N61,$H$6:$N$6^{1;2}),1,1),""),"")</f>
        <v/>
      </c>
      <c r="P61" s="38">
        <f>IFERROR(IF(COUNT($H61:$N61)=7,INDEX(LINEST($H61:$N61,$H$6:$N$6^{1;2}),1,2),""),"")</f>
        <v/>
      </c>
      <c r="Q61" s="38">
        <f>IFERROR(IF(COUNT($H61:$N61)=7,INDEX(LINEST($H61:$N61,$H$6:$N$6^{1;2}),1,3),""),"")</f>
        <v/>
      </c>
      <c r="R61" s="39">
        <f>IFERROR(IF(COUNT($H61:$N61)=7,INDEX(LINEST($H61:$N61,$H$6:$N$6^{1;2},TRUE(),TRUE()),3,1),""),"")</f>
        <v/>
      </c>
      <c r="S61" s="40">
        <f>IF(O61="","",TEXT(O61,"0.00")&amp;"·v² "&amp;IF(P61&gt;=0,"+ ","− ")&amp;TEXT(ABS(P61),"0.00")&amp;"·v "&amp;IF(Q61&gt;=0,"+ ","− ")&amp;TEXT(ABS(Q61),"0.00"))</f>
        <v/>
      </c>
      <c r="T61" s="41">
        <f>COUNT($H61:$N61)</f>
        <v/>
      </c>
      <c r="U61" s="41">
        <f>IFERROR(IF(O61="","",O61*($H$3/3600/$C$3)^2+P61*($H$3/3600/$C$3)+Q61),"")</f>
        <v/>
      </c>
      <c r="V61" s="36" t="inlineStr">
        <is>
          <t>Dossier SV GD CARB : courbe 2020 'QL-CARB' (cohérente fiche 2018, axe Y 0-120). PIÈGE : fichiers F7/F8 2023 = copies du base 2023 [22..155] hors axe → écartés. Charbon → ΔP non colmatante.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2026-06-23T09:23:11Z</dcterms:modified>
  <cp:revision>0</cp:revision>
</cp:coreProperties>
</file>