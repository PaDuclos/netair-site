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ISO 15 U</t>
        </is>
      </c>
      <c r="F22" s="36" t="n"/>
      <c r="G22" s="34" t="inlineStr">
        <is>
          <t>610×610×__</t>
        </is>
      </c>
      <c r="H22" s="37" t="n"/>
      <c r="I22" s="37" t="n"/>
      <c r="J22" s="37" t="n"/>
      <c r="K22" s="37" t="n"/>
      <c r="L22" s="37" t="n"/>
      <c r="M22" s="37" t="n"/>
      <c r="N22" s="37" t="n"/>
      <c r="O22" s="38">
        <f>IFERROR(IF(COUNT($H22:$N22)=7,INDEX(LINEST($H22:$N22,$H$6:$N$6^{1;2}),1,1),""),"")</f>
        <v/>
      </c>
      <c r="P22" s="38">
        <f>IFERROR(IF(COUNT($H22:$N22)=7,INDEX(LINEST($H22:$N22,$H$6:$N$6^{1;2}),1,2),""),"")</f>
        <v/>
      </c>
      <c r="Q22" s="38">
        <f>IFERROR(IF(COUNT($H22:$N22)=7,INDEX(LINEST($H22:$N22,$H$6:$N$6^{1;2}),1,3),""),"")</f>
        <v/>
      </c>
      <c r="R22" s="39">
        <f>IFERROR(IF(COUNT($H22:$N22)=7,INDEX(LINEST($H22:$N22,$H$6:$N$6^{1;2},TRUE(),TRUE()),3,1),""),"")</f>
        <v/>
      </c>
      <c r="S22" s="40">
        <f>IF(O22="","",TEXT(O22,"0.00")&amp;"·v² "&amp;IF(P22&gt;=0,"+ ","− ")&amp;TEXT(ABS(P22),"0.00")&amp;"·v "&amp;IF(Q22&gt;=0,"+ ","− ")&amp;TEXT(ABS(Q22),"0.00"))</f>
        <v/>
      </c>
      <c r="T22" s="41">
        <f>COUNT($H22:$N22)</f>
        <v/>
      </c>
      <c r="U22" s="41">
        <f>IFERROR(IF(O22="","",O22*($H$3/3600/$C$3)^2+P22*($H$3/3600/$C$3)+Q22),"")</f>
        <v/>
      </c>
      <c r="V22" s="36" t="n"/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 + CA</t>
        </is>
      </c>
      <c r="E27" s="36" t="inlineStr">
        <is>
          <t>ePM1 55% + Mol.</t>
        </is>
      </c>
      <c r="F27" s="36" t="n"/>
      <c r="G27" s="34" t="inlineStr">
        <is>
          <t>592×592×98</t>
        </is>
      </c>
      <c r="H27" s="37" t="n"/>
      <c r="I27" s="37" t="n"/>
      <c r="J27" s="37" t="n"/>
      <c r="K27" s="37" t="n"/>
      <c r="L27" s="37" t="n"/>
      <c r="M27" s="37" t="n"/>
      <c r="N27" s="37" t="n"/>
      <c r="O27" s="38">
        <f>IFERROR(IF(COUNT($H27:$N27)=7,INDEX(LINEST($H27:$N27,$H$6:$N$6^{1;2}),1,1),""),"")</f>
        <v/>
      </c>
      <c r="P27" s="38">
        <f>IFERROR(IF(COUNT($H27:$N27)=7,INDEX(LINEST($H27:$N27,$H$6:$N$6^{1;2}),1,2),""),"")</f>
        <v/>
      </c>
      <c r="Q27" s="38">
        <f>IFERROR(IF(COUNT($H27:$N27)=7,INDEX(LINEST($H27:$N27,$H$6:$N$6^{1;2}),1,3),""),"")</f>
        <v/>
      </c>
      <c r="R27" s="39">
        <f>IFERROR(IF(COUNT($H27:$N27)=7,INDEX(LINEST($H27:$N27,$H$6:$N$6^{1;2},TRUE(),TRUE()),3,1),""),"")</f>
        <v/>
      </c>
      <c r="S27" s="40">
        <f>IF(O27="","",TEXT(O27,"0.00")&amp;"·v² "&amp;IF(P27&gt;=0,"+ ","− ")&amp;TEXT(ABS(P27),"0.00")&amp;"·v "&amp;IF(Q27&gt;=0,"+ ","− ")&amp;TEXT(ABS(Q27),"0.00"))</f>
        <v/>
      </c>
      <c r="T27" s="41">
        <f>COUNT($H27:$N27)</f>
        <v/>
      </c>
      <c r="U27" s="41">
        <f>IFERROR(IF(O27="","",O27*($H$3/3600/$C$3)^2+P27*($H$3/3600/$C$3)+Q27),"")</f>
        <v/>
      </c>
      <c r="V27" s="36" t="n"/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t="inlineStr">
        <is>
          <t>FT-NETPAK-S-CILIA</t>
        </is>
      </c>
      <c r="B38" t="inlineStr">
        <is>
          <t>Filtres compacts</t>
        </is>
      </c>
      <c r="C38" t="inlineStr">
        <is>
          <t>NETPAK S CILIA M5</t>
        </is>
      </c>
      <c r="D38" t="inlineStr">
        <is>
          <t>M5</t>
        </is>
      </c>
      <c r="E38" t="inlineStr">
        <is>
          <t>ePM10 50%</t>
        </is>
      </c>
      <c r="F38" t="n">
        <v>48</v>
      </c>
      <c r="G38" t="inlineStr">
        <is>
          <t>592×592×48</t>
        </is>
      </c>
      <c r="H38" t="n">
        <v>14</v>
      </c>
      <c r="I38" t="n">
        <v>24</v>
      </c>
      <c r="J38" t="n">
        <v>35</v>
      </c>
      <c r="K38" t="n">
        <v>48</v>
      </c>
      <c r="L38" t="n">
        <v>64</v>
      </c>
      <c r="M38" t="n">
        <v>81</v>
      </c>
      <c r="N38" t="n">
        <v>100</v>
      </c>
      <c r="O38" t="n">
        <v>6.206</v>
      </c>
      <c r="P38" t="n">
        <v>11.495</v>
      </c>
      <c r="Q38" t="n">
        <v>1.183</v>
      </c>
      <c r="R38" t="n">
        <v>0.9999</v>
      </c>
      <c r="S38" t="inlineStr">
        <is>
          <t>6.206·v²+11.495·v+1.183</t>
        </is>
      </c>
      <c r="T38" t="n">
        <v>7</v>
      </c>
      <c r="U38" t="n">
        <v>77</v>
      </c>
      <c r="V38" t="inlineStr">
        <is>
          <t>PRISME A HPE 2018</t>
        </is>
      </c>
    </row>
    <row r="39">
      <c r="A39" t="inlineStr">
        <is>
          <t>FT-NETPAK-S-CILIA</t>
        </is>
      </c>
      <c r="B39" t="inlineStr">
        <is>
          <t>Filtres compacts</t>
        </is>
      </c>
      <c r="C39" t="inlineStr">
        <is>
          <t>NETPAK S CILIA M5</t>
        </is>
      </c>
      <c r="D39" t="inlineStr">
        <is>
          <t>M5</t>
        </is>
      </c>
      <c r="E39" t="inlineStr">
        <is>
          <t>ePM10 50%</t>
        </is>
      </c>
      <c r="F39" t="n">
        <v>98</v>
      </c>
      <c r="G39" t="inlineStr">
        <is>
          <t>592×592×98</t>
        </is>
      </c>
      <c r="H39" t="n">
        <v>11</v>
      </c>
      <c r="I39" t="n">
        <v>20</v>
      </c>
      <c r="J39" t="n">
        <v>31</v>
      </c>
      <c r="K39" t="n">
        <v>44</v>
      </c>
      <c r="L39" t="n">
        <v>59</v>
      </c>
      <c r="M39" t="n">
        <v>76</v>
      </c>
      <c r="N39" t="n">
        <v>95</v>
      </c>
      <c r="O39" t="n">
        <v>6.431</v>
      </c>
      <c r="P39" t="n">
        <v>9.792999999999999</v>
      </c>
      <c r="Q39" t="n">
        <v>-0.754</v>
      </c>
      <c r="R39" t="n">
        <v>1</v>
      </c>
      <c r="S39" t="inlineStr">
        <is>
          <t>6.431·v²+9.793·v+-0.754</t>
        </is>
      </c>
      <c r="T39" t="n">
        <v>7</v>
      </c>
      <c r="U39" t="n">
        <v>72</v>
      </c>
      <c r="V39" t="inlineStr">
        <is>
          <t>PRISME A HPE 2018</t>
        </is>
      </c>
    </row>
    <row r="40">
      <c r="A40" t="inlineStr">
        <is>
          <t>FT-NETPAK-S-CILIA</t>
        </is>
      </c>
      <c r="B40" t="inlineStr">
        <is>
          <t>Filtres compacts</t>
        </is>
      </c>
      <c r="C40" t="inlineStr">
        <is>
          <t>NETPAK S CILIA M6</t>
        </is>
      </c>
      <c r="D40" t="inlineStr">
        <is>
          <t>M6</t>
        </is>
      </c>
      <c r="E40" t="inlineStr">
        <is>
          <t>ePM2,5 50%</t>
        </is>
      </c>
      <c r="F40" t="n">
        <v>48</v>
      </c>
      <c r="G40" t="inlineStr">
        <is>
          <t>592×592×48</t>
        </is>
      </c>
      <c r="H40" t="n">
        <v>19</v>
      </c>
      <c r="I40" t="n">
        <v>32</v>
      </c>
      <c r="J40" t="n">
        <v>47</v>
      </c>
      <c r="K40" t="n">
        <v>63</v>
      </c>
      <c r="L40" t="n">
        <v>81</v>
      </c>
      <c r="M40" t="n">
        <v>100</v>
      </c>
      <c r="N40" t="n">
        <v>120</v>
      </c>
      <c r="O40" t="n">
        <v>4.414</v>
      </c>
      <c r="P40" t="n">
        <v>24.876</v>
      </c>
      <c r="Q40" t="n">
        <v>-3.46</v>
      </c>
      <c r="R40" t="n">
        <v>1</v>
      </c>
      <c r="S40" t="inlineStr">
        <is>
          <t>4.414·v²+24.876·v+-3.46</t>
        </is>
      </c>
      <c r="T40" t="n">
        <v>7</v>
      </c>
      <c r="U40" t="n">
        <v>96</v>
      </c>
      <c r="V40" t="inlineStr">
        <is>
          <t>PRISME A HPE 2018</t>
        </is>
      </c>
    </row>
    <row r="41">
      <c r="A41" t="inlineStr">
        <is>
          <t>FT-NETPAK-S-CILIA</t>
        </is>
      </c>
      <c r="B41" t="inlineStr">
        <is>
          <t>Filtres compacts</t>
        </is>
      </c>
      <c r="C41" t="inlineStr">
        <is>
          <t>NETPAK S CILIA M6</t>
        </is>
      </c>
      <c r="D41" t="inlineStr">
        <is>
          <t>M6</t>
        </is>
      </c>
      <c r="E41" t="inlineStr">
        <is>
          <t>ePM2,5 50%</t>
        </is>
      </c>
      <c r="F41" t="n">
        <v>98</v>
      </c>
      <c r="G41" t="inlineStr">
        <is>
          <t>592×592×98</t>
        </is>
      </c>
      <c r="H41" t="n">
        <v>15</v>
      </c>
      <c r="I41" t="n">
        <v>24</v>
      </c>
      <c r="J41" t="n">
        <v>36</v>
      </c>
      <c r="K41" t="n">
        <v>49</v>
      </c>
      <c r="L41" t="n">
        <v>64</v>
      </c>
      <c r="M41" t="n">
        <v>81</v>
      </c>
      <c r="N41" t="n">
        <v>99</v>
      </c>
      <c r="O41" t="n">
        <v>5.8</v>
      </c>
      <c r="P41" t="n">
        <v>12.3</v>
      </c>
      <c r="Q41" t="n">
        <v>1.642</v>
      </c>
      <c r="R41" t="n">
        <v>1</v>
      </c>
      <c r="S41" t="inlineStr">
        <is>
          <t>5.8·v²+12.3·v+1.642</t>
        </is>
      </c>
      <c r="T41" t="n">
        <v>7</v>
      </c>
      <c r="U41" t="n">
        <v>77</v>
      </c>
      <c r="V41" t="inlineStr">
        <is>
          <t>PRISME A HPE 2018</t>
        </is>
      </c>
    </row>
    <row r="42">
      <c r="A42" t="inlineStr">
        <is>
          <t>FT-NETPAK-S-CILIA</t>
        </is>
      </c>
      <c r="B42" t="inlineStr">
        <is>
          <t>Filtres compacts</t>
        </is>
      </c>
      <c r="C42" t="inlineStr">
        <is>
          <t>NETPAK S CILIA F7</t>
        </is>
      </c>
      <c r="D42" t="inlineStr">
        <is>
          <t>F7</t>
        </is>
      </c>
      <c r="E42" t="inlineStr">
        <is>
          <t>ePM1 55%</t>
        </is>
      </c>
      <c r="F42" t="n">
        <v>48</v>
      </c>
      <c r="G42" t="inlineStr">
        <is>
          <t>592×592×48</t>
        </is>
      </c>
      <c r="H42" t="n">
        <v>23</v>
      </c>
      <c r="I42" t="n">
        <v>37</v>
      </c>
      <c r="J42" t="n">
        <v>52</v>
      </c>
      <c r="K42" t="n">
        <v>69</v>
      </c>
      <c r="L42" t="n">
        <v>88</v>
      </c>
      <c r="M42" t="n">
        <v>109</v>
      </c>
      <c r="N42" t="n">
        <v>132</v>
      </c>
      <c r="O42" t="n">
        <v>6.075</v>
      </c>
      <c r="P42" t="n">
        <v>21.556</v>
      </c>
      <c r="Q42" t="n">
        <v>2.404</v>
      </c>
      <c r="R42" t="n">
        <v>1</v>
      </c>
      <c r="S42" t="inlineStr">
        <is>
          <t>6.075·v²+21.556·v+2.404</t>
        </is>
      </c>
      <c r="T42" t="n">
        <v>7</v>
      </c>
      <c r="U42" t="n">
        <v>105</v>
      </c>
      <c r="V42" t="inlineStr">
        <is>
          <t>PRISME A HPE 2018</t>
        </is>
      </c>
    </row>
    <row r="43">
      <c r="A43" t="inlineStr">
        <is>
          <t>FT-NETPAK-S-CILIA</t>
        </is>
      </c>
      <c r="B43" t="inlineStr">
        <is>
          <t>Filtres compacts</t>
        </is>
      </c>
      <c r="C43" t="inlineStr">
        <is>
          <t>NETPAK S CILIA F7</t>
        </is>
      </c>
      <c r="D43" t="inlineStr">
        <is>
          <t>F7</t>
        </is>
      </c>
      <c r="E43" t="inlineStr">
        <is>
          <t>ePM1 55%</t>
        </is>
      </c>
      <c r="F43" t="n">
        <v>98</v>
      </c>
      <c r="G43" t="inlineStr">
        <is>
          <t>592×592×98</t>
        </is>
      </c>
      <c r="H43" t="n">
        <v>18</v>
      </c>
      <c r="I43" t="n">
        <v>27</v>
      </c>
      <c r="J43" t="n">
        <v>39</v>
      </c>
      <c r="K43" t="n">
        <v>53</v>
      </c>
      <c r="L43" t="n">
        <v>70</v>
      </c>
      <c r="M43" t="n">
        <v>88</v>
      </c>
      <c r="N43" t="n">
        <v>109</v>
      </c>
      <c r="O43" t="n">
        <v>7.346</v>
      </c>
      <c r="P43" t="n">
        <v>9.226000000000001</v>
      </c>
      <c r="Q43" t="n">
        <v>5.911</v>
      </c>
      <c r="R43" t="n">
        <v>0.9999</v>
      </c>
      <c r="S43" t="inlineStr">
        <is>
          <t>7.346·v²+9.226·v+5.911</t>
        </is>
      </c>
      <c r="T43" t="n">
        <v>7</v>
      </c>
      <c r="U43" t="n">
        <v>84</v>
      </c>
      <c r="V43" t="inlineStr">
        <is>
          <t>PRISME A HPE 2018</t>
        </is>
      </c>
    </row>
    <row r="44">
      <c r="A44" t="inlineStr">
        <is>
          <t>FT-NETPAK-S-CILIA</t>
        </is>
      </c>
      <c r="B44" t="inlineStr">
        <is>
          <t>Filtres compacts</t>
        </is>
      </c>
      <c r="C44" t="inlineStr">
        <is>
          <t>NETPAK S CILIA F8</t>
        </is>
      </c>
      <c r="D44" t="inlineStr">
        <is>
          <t>F8</t>
        </is>
      </c>
      <c r="E44" t="inlineStr">
        <is>
          <t>ePM1 70%</t>
        </is>
      </c>
      <c r="F44" t="n">
        <v>48</v>
      </c>
      <c r="G44" t="inlineStr">
        <is>
          <t>592×592×48</t>
        </is>
      </c>
      <c r="H44" t="n">
        <v>23</v>
      </c>
      <c r="I44" t="n">
        <v>43</v>
      </c>
      <c r="J44" t="n">
        <v>66</v>
      </c>
      <c r="K44" t="n">
        <v>88</v>
      </c>
      <c r="L44" t="n">
        <v>115</v>
      </c>
      <c r="M44" t="n">
        <v>143</v>
      </c>
      <c r="N44" t="n">
        <v>173</v>
      </c>
      <c r="O44" t="n">
        <v>6.567</v>
      </c>
      <c r="P44" t="n">
        <v>36.887</v>
      </c>
      <c r="Q44" t="n">
        <v>-10.099</v>
      </c>
      <c r="R44" t="n">
        <v>0.9999</v>
      </c>
      <c r="S44" t="inlineStr">
        <is>
          <t>6.567·v²+36.887·v+-10.099</t>
        </is>
      </c>
      <c r="T44" t="n">
        <v>7</v>
      </c>
      <c r="U44" t="n">
        <v>137</v>
      </c>
      <c r="V44" t="inlineStr">
        <is>
          <t>PRISME A HPE 2018</t>
        </is>
      </c>
    </row>
    <row r="45">
      <c r="A45" t="inlineStr">
        <is>
          <t>FT-NETPAK-S-CILIA</t>
        </is>
      </c>
      <c r="B45" t="inlineStr">
        <is>
          <t>Filtres compacts</t>
        </is>
      </c>
      <c r="C45" t="inlineStr">
        <is>
          <t>NETPAK S CILIA F8</t>
        </is>
      </c>
      <c r="D45" t="inlineStr">
        <is>
          <t>F8</t>
        </is>
      </c>
      <c r="E45" t="inlineStr">
        <is>
          <t>ePM1 70%</t>
        </is>
      </c>
      <c r="F45" t="n">
        <v>98</v>
      </c>
      <c r="G45" t="inlineStr">
        <is>
          <t>592×592×98</t>
        </is>
      </c>
      <c r="H45" t="n">
        <v>22</v>
      </c>
      <c r="I45" t="n">
        <v>35</v>
      </c>
      <c r="J45" t="n">
        <v>51</v>
      </c>
      <c r="K45" t="n">
        <v>68</v>
      </c>
      <c r="L45" t="n">
        <v>89</v>
      </c>
      <c r="M45" t="n">
        <v>113</v>
      </c>
      <c r="N45" t="n">
        <v>137</v>
      </c>
      <c r="O45" t="n">
        <v>7.595</v>
      </c>
      <c r="P45" t="n">
        <v>18.438</v>
      </c>
      <c r="Q45" t="n">
        <v>2.391</v>
      </c>
      <c r="R45" t="n">
        <v>0.9999</v>
      </c>
      <c r="S45" t="inlineStr">
        <is>
          <t>7.595·v²+18.438·v+2.391</t>
        </is>
      </c>
      <c r="T45" t="n">
        <v>7</v>
      </c>
      <c r="U45" t="n">
        <v>107</v>
      </c>
      <c r="V45" t="inlineStr">
        <is>
          <t>PRISME A HPE 2018 — 7e pt (4000) extrapolé</t>
        </is>
      </c>
    </row>
    <row r="46">
      <c r="A46" t="inlineStr">
        <is>
          <t>FT-NETPAK-S-CILIA</t>
        </is>
      </c>
      <c r="B46" t="inlineStr">
        <is>
          <t>Filtres compacts</t>
        </is>
      </c>
      <c r="C46" t="inlineStr">
        <is>
          <t>NETPAK S CILIA F9</t>
        </is>
      </c>
      <c r="D46" t="inlineStr">
        <is>
          <t>F9</t>
        </is>
      </c>
      <c r="E46" t="inlineStr">
        <is>
          <t>ePM1 80%</t>
        </is>
      </c>
      <c r="F46" t="n">
        <v>48</v>
      </c>
      <c r="G46" t="inlineStr">
        <is>
          <t>592×592×48</t>
        </is>
      </c>
      <c r="H46" t="n">
        <v>33</v>
      </c>
      <c r="I46" t="n">
        <v>53</v>
      </c>
      <c r="J46" t="n">
        <v>76</v>
      </c>
      <c r="K46" t="n">
        <v>98</v>
      </c>
      <c r="L46" t="n">
        <v>125</v>
      </c>
      <c r="M46" t="n">
        <v>153</v>
      </c>
      <c r="N46" t="n">
        <v>183</v>
      </c>
      <c r="O46" t="n">
        <v>6.567</v>
      </c>
      <c r="P46" t="n">
        <v>36.887</v>
      </c>
      <c r="Q46" t="n">
        <v>-0.099</v>
      </c>
      <c r="R46" t="n">
        <v>0.9999</v>
      </c>
      <c r="S46" t="inlineStr">
        <is>
          <t>6.567·v²+36.887·v+-0.099</t>
        </is>
      </c>
      <c r="T46" t="n">
        <v>7</v>
      </c>
      <c r="U46" t="n">
        <v>147</v>
      </c>
      <c r="V46" t="inlineStr">
        <is>
          <t>PRISME A HPE 2018 — = F8 ep48 +10 Pa (offset suspect, à valider)</t>
        </is>
      </c>
    </row>
    <row r="47">
      <c r="A47" t="inlineStr">
        <is>
          <t>FT-NETPAK-S-CILIA</t>
        </is>
      </c>
      <c r="B47" t="inlineStr">
        <is>
          <t>Filtres compacts</t>
        </is>
      </c>
      <c r="C47" t="inlineStr">
        <is>
          <t>NETPAK S CILIA F9</t>
        </is>
      </c>
      <c r="D47" t="inlineStr">
        <is>
          <t>F9</t>
        </is>
      </c>
      <c r="E47" t="inlineStr">
        <is>
          <t>ePM1 80%</t>
        </is>
      </c>
      <c r="F47" t="n">
        <v>98</v>
      </c>
      <c r="G47" t="inlineStr">
        <is>
          <t>592×592×98</t>
        </is>
      </c>
      <c r="H47" t="n">
        <v>24</v>
      </c>
      <c r="I47" t="n">
        <v>39</v>
      </c>
      <c r="J47" t="n">
        <v>57</v>
      </c>
      <c r="K47" t="n">
        <v>76</v>
      </c>
      <c r="L47" t="n">
        <v>99</v>
      </c>
      <c r="M47" t="n">
        <v>125</v>
      </c>
      <c r="N47" t="n">
        <v>152</v>
      </c>
      <c r="O47" t="n">
        <v>8.289</v>
      </c>
      <c r="P47" t="n">
        <v>20.972</v>
      </c>
      <c r="Q47" t="n">
        <v>2.319</v>
      </c>
      <c r="R47" t="n">
        <v>1</v>
      </c>
      <c r="S47" t="inlineStr">
        <is>
          <t>8.289·v²+20.972·v+2.319</t>
        </is>
      </c>
      <c r="T47" t="n">
        <v>7</v>
      </c>
      <c r="U47" t="n">
        <v>119</v>
      </c>
      <c r="V47" t="inlineStr">
        <is>
          <t>PRISME A HPE 2018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2026-06-22T11:21:08Z</dcterms:modified>
  <cp:revision>0</cp:revision>
</cp:coreProperties>
</file>