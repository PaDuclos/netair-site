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NETCEL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134</v>
      </c>
      <c r="V57" s="36" t="inlineStr">
        <is>
          <t>Mode HEPA (ΔP finale=2×init). Cache Excel TITAPAK V GD E10 : débit [1000-3500] → ΔP [50,79,108,140,176,212].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31.8</v>
      </c>
      <c r="P58" s="38" t="n">
        <v>119.76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[400-2400] → ΔP [25,75,131,188,250,331]. Extrapolé &gt;2400.</t>
        </is>
      </c>
    </row>
    <row r="59">
      <c r="A59" s="33" t="inlineStr">
        <is>
          <t>FT-NETCARB-CILIA</t>
        </is>
      </c>
      <c r="B59" s="34" t="inlineStr">
        <is>
          <t>Charbon actif</t>
        </is>
      </c>
      <c r="C59" s="35" t="inlineStr">
        <is>
          <t>NETCARB CILIA 48</t>
        </is>
      </c>
      <c r="D59" s="36" t="inlineStr">
        <is>
          <t>—</t>
        </is>
      </c>
      <c r="E59" s="36" t="inlineStr">
        <is>
          <t>Moléculaire (ISO 10121)</t>
        </is>
      </c>
      <c r="F59" s="36" t="n">
        <v>48</v>
      </c>
      <c r="G59" s="34" t="inlineStr">
        <is>
          <t>592×592×48</t>
        </is>
      </c>
      <c r="H59" s="37" t="n">
        <v>13</v>
      </c>
      <c r="I59" s="37" t="n">
        <v>23</v>
      </c>
      <c r="J59" s="37" t="n">
        <v>34</v>
      </c>
      <c r="K59" s="37" t="n">
        <v>46</v>
      </c>
      <c r="L59" s="37" t="n">
        <v>60</v>
      </c>
      <c r="M59" s="37" t="n">
        <v>76</v>
      </c>
      <c r="N59" s="37" t="n">
        <v>93</v>
      </c>
      <c r="O59" s="38">
        <f>IFERROR(IF(COUNT($H59:$N59)=7,INDEX(LINEST($H59:$N59,$H$6:$N$6^{1;2}),1,1),""),"")</f>
        <v/>
      </c>
      <c r="P59" s="38">
        <f>IFERROR(IF(COUNT($H59:$N59)=7,INDEX(LINEST($H59:$N59,$H$6:$N$6^{1;2}),1,2),""),"")</f>
        <v/>
      </c>
      <c r="Q59" s="38">
        <f>IFERROR(IF(COUNT($H59:$N59)=7,INDEX(LINEST($H59:$N59,$H$6:$N$6^{1;2}),1,3),""),"")</f>
        <v/>
      </c>
      <c r="R59" s="39">
        <f>IFERROR(IF(COUNT($H59:$N59)=7,INDEX(LINEST($H59:$N59,$H$6:$N$6^{1;2},TRUE(),TRUE()),3,1),""),"")</f>
        <v/>
      </c>
      <c r="S59" s="40">
        <f>IF(O59="","",TEXT(O59,"0.00")&amp;"·v² "&amp;IF(P59&gt;=0,"+ ","− ")&amp;TEXT(ABS(P59),"0.00")&amp;"·v "&amp;IF(Q59&gt;=0,"+ ","− ")&amp;TEXT(ABS(Q59),"0.00"))</f>
        <v/>
      </c>
      <c r="T59" s="41">
        <f>COUNT($H59:$N59)</f>
        <v/>
      </c>
      <c r="U59" s="41">
        <f>IFERROR(IF(O59="","",O59*($H$3/3600/$C$3)^2+P59*($H$3/3600/$C$3)+Q59),"")</f>
        <v/>
      </c>
      <c r="V59" s="36" t="inlineStr">
        <is>
          <t>Cache Excel CARB/PRISME CARB 48.xlsx (YGLA 2017). 7 pts grille standard. Filtre moléculaire (charbon) : ΔP non colmatante.</t>
        </is>
      </c>
    </row>
    <row r="60">
      <c r="A60" s="33" t="inlineStr">
        <is>
          <t>FT-NETCARB-CILIA</t>
        </is>
      </c>
      <c r="B60" s="34" t="inlineStr">
        <is>
          <t>Charbon actif</t>
        </is>
      </c>
      <c r="C60" s="35" t="inlineStr">
        <is>
          <t>NETCARB CILIA 98</t>
        </is>
      </c>
      <c r="D60" s="36" t="inlineStr">
        <is>
          <t>—</t>
        </is>
      </c>
      <c r="E60" s="36" t="inlineStr">
        <is>
          <t>Moléculaire (ISO 10121)</t>
        </is>
      </c>
      <c r="F60" s="36" t="n">
        <v>98</v>
      </c>
      <c r="G60" s="34" t="inlineStr">
        <is>
          <t>592×592×98</t>
        </is>
      </c>
      <c r="H60" s="37" t="n">
        <v>10</v>
      </c>
      <c r="I60" s="37" t="n">
        <v>18</v>
      </c>
      <c r="J60" s="37" t="n">
        <v>28</v>
      </c>
      <c r="K60" s="37" t="n">
        <v>41</v>
      </c>
      <c r="L60" s="37" t="n">
        <v>55</v>
      </c>
      <c r="M60" s="37" t="n">
        <v>70</v>
      </c>
      <c r="N60" s="37" t="n">
        <v>87</v>
      </c>
      <c r="O60" s="38">
        <f>IFERROR(IF(COUNT($H60:$N60)=7,INDEX(LINEST($H60:$N60,$H$6:$N$6^{1;2}),1,1),""),"")</f>
        <v/>
      </c>
      <c r="P60" s="38">
        <f>IFERROR(IF(COUNT($H60:$N60)=7,INDEX(LINEST($H60:$N60,$H$6:$N$6^{1;2}),1,2),""),"")</f>
        <v/>
      </c>
      <c r="Q60" s="38">
        <f>IFERROR(IF(COUNT($H60:$N60)=7,INDEX(LINEST($H60:$N60,$H$6:$N$6^{1;2}),1,3),""),"")</f>
        <v/>
      </c>
      <c r="R60" s="39">
        <f>IFERROR(IF(COUNT($H60:$N60)=7,INDEX(LINEST($H60:$N60,$H$6:$N$6^{1;2},TRUE(),TRUE()),3,1),""),"")</f>
        <v/>
      </c>
      <c r="S60" s="40">
        <f>IF(O60="","",TEXT(O60,"0.00")&amp;"·v² "&amp;IF(P60&gt;=0,"+ ","− ")&amp;TEXT(ABS(P60),"0.00")&amp;"·v "&amp;IF(Q60&gt;=0,"+ ","− ")&amp;TEXT(ABS(Q60),"0.00"))</f>
        <v/>
      </c>
      <c r="T60" s="41">
        <f>COUNT($H60:$N60)</f>
        <v/>
      </c>
      <c r="U60" s="41">
        <f>IFERROR(IF(O60="","",O60*($H$3/3600/$C$3)^2+P60*($H$3/3600/$C$3)+Q60),"")</f>
        <v/>
      </c>
      <c r="V60" s="36" t="inlineStr">
        <is>
          <t>Cache Excel CARB/PRISME CARB 98.xlsx (YGLA 2017). 7 pts grille standard. Filtre moléculaire (charbon) : ΔP non colmatante.</t>
        </is>
      </c>
    </row>
    <row r="61">
      <c r="A61" s="33" t="inlineStr">
        <is>
          <t>FT-NETCARB-AZUR</t>
        </is>
      </c>
      <c r="B61" s="34" t="inlineStr">
        <is>
          <t>Charbon actif</t>
        </is>
      </c>
      <c r="C61" s="35" t="inlineStr">
        <is>
          <t>NETCARB AZUR</t>
        </is>
      </c>
      <c r="D61" s="36" t="inlineStr">
        <is>
          <t>—</t>
        </is>
      </c>
      <c r="E61" s="36" t="inlineStr">
        <is>
          <t>Moléculaire (ISO 10121)</t>
        </is>
      </c>
      <c r="F61" s="36" t="n">
        <v>292</v>
      </c>
      <c r="G61" s="34" t="inlineStr">
        <is>
          <t>592×592×292</t>
        </is>
      </c>
      <c r="H61" s="37" t="n">
        <v>18</v>
      </c>
      <c r="I61" s="37" t="n">
        <v>31</v>
      </c>
      <c r="J61" s="37" t="n">
        <v>45</v>
      </c>
      <c r="K61" s="37" t="n">
        <v>61</v>
      </c>
      <c r="L61" s="37" t="n">
        <v>79</v>
      </c>
      <c r="M61" s="37" t="n">
        <v>103</v>
      </c>
      <c r="N61" s="37" t="n"/>
      <c r="O61" s="38">
        <f>IFERROR(IF(COUNT($H61:$N61)=7,INDEX(LINEST($H61:$N61,$H$6:$N$6^{1;2}),1,1),""),"")</f>
        <v/>
      </c>
      <c r="P61" s="38">
        <f>IFERROR(IF(COUNT($H61:$N61)=7,INDEX(LINEST($H61:$N61,$H$6:$N$6^{1;2}),1,2),""),"")</f>
        <v/>
      </c>
      <c r="Q61" s="38">
        <f>IFERROR(IF(COUNT($H61:$N61)=7,INDEX(LINEST($H61:$N61,$H$6:$N$6^{1;2}),1,3),""),"")</f>
        <v/>
      </c>
      <c r="R61" s="39">
        <f>IFERROR(IF(COUNT($H61:$N61)=7,INDEX(LINEST($H61:$N61,$H$6:$N$6^{1;2},TRUE(),TRUE()),3,1),""),"")</f>
        <v/>
      </c>
      <c r="S61" s="40">
        <f>IF(O61="","",TEXT(O61,"0.00")&amp;"·v² "&amp;IF(P61&gt;=0,"+ ","− ")&amp;TEXT(ABS(P61),"0.00")&amp;"·v "&amp;IF(Q61&gt;=0,"+ ","− ")&amp;TEXT(ABS(Q61),"0.00"))</f>
        <v/>
      </c>
      <c r="T61" s="41">
        <f>COUNT($H61:$N61)</f>
        <v/>
      </c>
      <c r="U61" s="41">
        <f>IFERROR(IF(O61="","",O61*($H$3/3600/$C$3)^2+P61*($H$3/3600/$C$3)+Q61),"")</f>
        <v/>
      </c>
      <c r="V61" s="36" t="inlineStr">
        <is>
          <t>Dossier SV GD CARB : courbe 2020 'QL-CARB' (cohérente fiche 2018, axe Y 0-120). PIÈGE : fichiers F7/F8 2023 = copies du base 2023 [22..155] hors axe → écartés. Charbon → ΔP non colmatante.</t>
        </is>
      </c>
    </row>
    <row r="62">
      <c r="A62" s="33" t="inlineStr">
        <is>
          <t>FT-NETCARB-NIVAL</t>
        </is>
      </c>
      <c r="B62" s="34" t="inlineStr">
        <is>
          <t>Charbon actif</t>
        </is>
      </c>
      <c r="C62" s="35" t="inlineStr">
        <is>
          <t>NETCARB NIVAL</t>
        </is>
      </c>
      <c r="D62" s="36" t="inlineStr">
        <is>
          <t>—</t>
        </is>
      </c>
      <c r="E62" s="36" t="inlineStr">
        <is>
          <t>Moléculaire (ISO 10121)</t>
        </is>
      </c>
      <c r="F62" s="36" t="n">
        <v>292</v>
      </c>
      <c r="G62" s="34" t="inlineStr">
        <is>
          <t>592×592×292</t>
        </is>
      </c>
      <c r="H62" s="37" t="n">
        <v>18</v>
      </c>
      <c r="I62" s="37" t="n">
        <v>31</v>
      </c>
      <c r="J62" s="37" t="n">
        <v>45</v>
      </c>
      <c r="K62" s="37" t="n">
        <v>61</v>
      </c>
      <c r="L62" s="37" t="n">
        <v>79</v>
      </c>
      <c r="M62" s="37" t="n">
        <v>103</v>
      </c>
      <c r="N62" s="37" t="n"/>
      <c r="O62" s="38">
        <f>IFERROR(IF(COUNT($H62:$N62)=7,INDEX(LINEST($H62:$N62,$H$6:$N$6^{1;2}),1,1),""),"")</f>
        <v/>
      </c>
      <c r="P62" s="38">
        <f>IFERROR(IF(COUNT($H62:$N62)=7,INDEX(LINEST($H62:$N62,$H$6:$N$6^{1;2}),1,2),""),"")</f>
        <v/>
      </c>
      <c r="Q62" s="38">
        <f>IFERROR(IF(COUNT($H62:$N62)=7,INDEX(LINEST($H62:$N62,$H$6:$N$6^{1;2}),1,3),""),"")</f>
        <v/>
      </c>
      <c r="R62" s="39">
        <f>IFERROR(IF(COUNT($H62:$N62)=7,INDEX(LINEST($H62:$N62,$H$6:$N$6^{1;2},TRUE(),TRUE()),3,1),""),"")</f>
        <v/>
      </c>
      <c r="S62" s="40">
        <f>IF(O62="","",TEXT(O62,"0.00")&amp;"·v² "&amp;IF(P62&gt;=0,"+ ","− ")&amp;TEXT(ABS(P62),"0.00")&amp;"·v "&amp;IF(Q62&gt;=0,"+ ","− ")&amp;TEXT(ABS(Q62),"0.00"))</f>
        <v/>
      </c>
      <c r="T62" s="41">
        <f>COUNT($H62:$N62)</f>
        <v/>
      </c>
      <c r="U62" s="41">
        <f>IFERROR(IF(O62="","",O62*($H$3/3600/$C$3)^2+P62*($H$3/3600/$C$3)+Q62),"")</f>
        <v/>
      </c>
      <c r="V62" s="36" t="inlineStr">
        <is>
          <t>⚠ COURBE PARTAGÉE = pack charbon 292 mm de SV-GD/QL-CARB (l.61, AZUR). V-CARB n'a aucune courbe propre mesurée (doc = '85 Pa' plat). Courbe V-CARB À MESURER R&amp;D. Nominal V-CARB 3000.</t>
        </is>
      </c>
    </row>
    <row r="63">
      <c r="A63" s="33" t="inlineStr">
        <is>
          <t>FT-NETCARB-BAG</t>
        </is>
      </c>
      <c r="B63" s="34" t="inlineStr">
        <is>
          <t>Charbon actif (combiné)</t>
        </is>
      </c>
      <c r="C63" s="35" t="inlineStr">
        <is>
          <t>NETCARB BAG F9</t>
        </is>
      </c>
      <c r="D63" s="36" t="inlineStr">
        <is>
          <t>F9</t>
        </is>
      </c>
      <c r="E63" s="36" t="inlineStr">
        <is>
          <t>ePM1 80% + CA</t>
        </is>
      </c>
      <c r="F63" s="36" t="n">
        <v>520</v>
      </c>
      <c r="G63" s="34" t="inlineStr">
        <is>
          <t>592×592×520</t>
        </is>
      </c>
      <c r="H63" s="37" t="n">
        <v>47</v>
      </c>
      <c r="I63" s="37" t="n">
        <v>78</v>
      </c>
      <c r="J63" s="37" t="n">
        <v>114</v>
      </c>
      <c r="K63" s="37" t="n">
        <v>151</v>
      </c>
      <c r="L63" s="37" t="n">
        <v>196</v>
      </c>
      <c r="M63" s="37" t="n">
        <v>239</v>
      </c>
      <c r="N63" s="37" t="n">
        <v>284</v>
      </c>
      <c r="O63" s="38">
        <f>IFERROR(IF(COUNT($H63:$N63)=7,INDEX(LINEST($H63:$N63,$H$6:$N$6^{1;2}),1,1),""),"")</f>
        <v/>
      </c>
      <c r="P63" s="38">
        <f>IFERROR(IF(COUNT($H63:$N63)=7,INDEX(LINEST($H63:$N63,$H$6:$N$6^{1;2}),1,2),""),"")</f>
        <v/>
      </c>
      <c r="Q63" s="38">
        <f>IFERROR(IF(COUNT($H63:$N63)=7,INDEX(LINEST($H63:$N63,$H$6:$N$6^{1;2}),1,3),""),"")</f>
        <v/>
      </c>
      <c r="R63" s="39">
        <f>IFERROR(IF(COUNT($H63:$N63)=7,INDEX(LINEST($H63:$N63,$H$6:$N$6^{1;2},TRUE(),TRUE()),3,1),""),"")</f>
        <v/>
      </c>
      <c r="S63" s="40">
        <f>IF(O63="","",TEXT(O63,"0.00")&amp;"·v² "&amp;IF(P63&gt;=0,"+ ","− ")&amp;TEXT(ABS(P63),"0.00")&amp;"·v "&amp;IF(Q63&gt;=0,"+ ","− ")&amp;TEXT(ABS(Q63),"0.00"))</f>
        <v/>
      </c>
      <c r="T63" s="41">
        <f>COUNT($H63:$N63)</f>
        <v/>
      </c>
      <c r="U63" s="41">
        <f>IFERROR(IF(O63="","",O63*($H$3/3600/$C$3)^2+P63*($H$3/3600/$C$3)+Q63),"")</f>
        <v/>
      </c>
      <c r="V63" s="36" t="inlineStr">
        <is>
          <t>TITABAG F9 CARB 2021 (cache Excel). COMBINÉ F9 ePM1 80% + charbon imprégné → COLMATANT, règle ePM +100 (PAS const). Capacité 15%. Cadre acier, 520mm.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2026-06-23T09:43:40Z</dcterms:modified>
  <cp:revision>0</cp:revision>
</cp:coreProperties>
</file>