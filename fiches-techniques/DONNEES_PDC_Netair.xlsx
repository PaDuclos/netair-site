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NETCEL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176</v>
      </c>
      <c r="V57" s="36" t="inlineStr">
        <is>
          <t>Mode HEPA (ΔP finale=2×init). Cache Excel TITAPAK V GD E10 : débit [1000-3500] → ΔP [50,79,108,140,176,212]. Nominal fiche 3000 m³/h (02/08/2026).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20.3525</v>
      </c>
      <c r="P58" s="38" t="n">
        <v>95.8058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[500-3000] → ΔP [25,75,131,188,250,331]. ✅ AXE DÉBIT CORRIGÉ 02/08/2026 (fiche source PDF ; l’extraction du cache comprimait l’axe de 20 % : 400-2400. Erreur détectée PA). Nominal fiche 3000 m³/h.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</t>
        </is>
      </c>
      <c r="F61" s="36" t="n">
        <v>292</v>
      </c>
      <c r="G61" s="34" t="inlineStr">
        <is>
          <t>592×592×292</t>
        </is>
      </c>
      <c r="H61" s="37" t="n">
        <v>22</v>
      </c>
      <c r="I61" s="37" t="n">
        <v>38</v>
      </c>
      <c r="J61" s="37" t="n">
        <v>56</v>
      </c>
      <c r="K61" s="37" t="n">
        <v>77</v>
      </c>
      <c r="L61" s="37" t="n">
        <v>101</v>
      </c>
      <c r="M61" s="37" t="n">
        <v>128</v>
      </c>
      <c r="N61" s="37" t="n">
        <v>155</v>
      </c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Courbe 2023 retenue (décision PA 12/10/2026) : fiche SV-GD CARB 2023.pdf (créée 07/11/2024, classe ISO NA = charbon seul), 7 pts 0,79→3,17 m/s = 1 000→4 000 m³/h ; ΔP@3400 ≈ 121 Pa. Les fichiers F7/F8 2023 en sont des copies (version combinée non mesurée). Remplace la courbe 2020 [18,31,45,61,79,103 de 1 000 à 3 500] utilisée en v1.0. Charbon → ΔP non colmatante.</t>
        </is>
      </c>
    </row>
    <row r="62">
      <c r="A62" s="33" t="inlineStr">
        <is>
          <t>FT-NETCARB-NIVAL</t>
        </is>
      </c>
      <c r="B62" s="34" t="inlineStr">
        <is>
          <t>Charbon actif</t>
        </is>
      </c>
      <c r="C62" s="35" t="inlineStr">
        <is>
          <t>NETCARB NIVAL</t>
        </is>
      </c>
      <c r="D62" s="36" t="inlineStr">
        <is>
          <t>—</t>
        </is>
      </c>
      <c r="E62" s="36" t="inlineStr">
        <is>
          <t>Moléculaire</t>
        </is>
      </c>
      <c r="F62" s="36" t="n">
        <v>292</v>
      </c>
      <c r="G62" s="34" t="inlineStr">
        <is>
          <t>592×592×292</t>
        </is>
      </c>
      <c r="H62" s="37" t="n">
        <v>18</v>
      </c>
      <c r="I62" s="37" t="n">
        <v>31</v>
      </c>
      <c r="J62" s="37" t="n">
        <v>45</v>
      </c>
      <c r="K62" s="37" t="n">
        <v>61</v>
      </c>
      <c r="L62" s="37" t="n">
        <v>79</v>
      </c>
      <c r="M62" s="37" t="n">
        <v>103</v>
      </c>
      <c r="N62" s="37" t="n"/>
      <c r="O62" s="38">
        <f>IFERROR(IF(COUNT($H62:$N62)=7,INDEX(LINEST($H62:$N62,$H$6:$N$6^{1;2}),1,1),""),"")</f>
        <v/>
      </c>
      <c r="P62" s="38">
        <f>IFERROR(IF(COUNT($H62:$N62)=7,INDEX(LINEST($H62:$N62,$H$6:$N$6^{1;2}),1,2),""),"")</f>
        <v/>
      </c>
      <c r="Q62" s="38">
        <f>IFERROR(IF(COUNT($H62:$N62)=7,INDEX(LINEST($H62:$N62,$H$6:$N$6^{1;2}),1,3),""),"")</f>
        <v/>
      </c>
      <c r="R62" s="39">
        <f>IFERROR(IF(COUNT($H62:$N62)=7,INDEX(LINEST($H62:$N62,$H$6:$N$6^{1;2},TRUE(),TRUE()),3,1),""),"")</f>
        <v/>
      </c>
      <c r="S62" s="40">
        <f>IF(O62="","",TEXT(O62,"0.00")&amp;"·v² "&amp;IF(P62&gt;=0,"+ ","− ")&amp;TEXT(ABS(P62),"0.00")&amp;"·v "&amp;IF(Q62&gt;=0,"+ ","− ")&amp;TEXT(ABS(Q62),"0.00"))</f>
        <v/>
      </c>
      <c r="T62" s="41">
        <f>COUNT($H62:$N62)</f>
        <v/>
      </c>
      <c r="U62" s="41">
        <f>IFERROR(IF(O62="","",O62*($H$3/3600/$C$3)^2+P62*($H$3/3600/$C$3)+Q62),"")</f>
        <v/>
      </c>
      <c r="V62" s="36" t="inlineStr">
        <is>
          <t>⚠ AUCUNE COURBE AFFICHÉE depuis la v1.1 (décision PA 12/10/2026, clé sans_courbe) : pas de mesure du V-CARB charbon seul. Les valeurs de cette ligne = ancienne courbe empruntée QL-CARB 2013 (même que l'ancienne AZUR), conservées pour mémoire, NON UTILISÉES. Fiche V-CARB F7 2018 (combinée) = copie de QL-CARB F9 2013 → non fiable. Courbe V-CARB à obtenir du fournisseur.</t>
        </is>
      </c>
    </row>
    <row r="63">
      <c r="A63" s="33" t="inlineStr">
        <is>
          <t>FT-NETCARB-BAG</t>
        </is>
      </c>
      <c r="B63" s="34" t="inlineStr">
        <is>
          <t>Charbon actif (combiné)</t>
        </is>
      </c>
      <c r="C63" s="35" t="inlineStr">
        <is>
          <t>NETCARB BAG F9</t>
        </is>
      </c>
      <c r="D63" s="36" t="inlineStr">
        <is>
          <t>F9</t>
        </is>
      </c>
      <c r="E63" s="36" t="inlineStr">
        <is>
          <t>ePM1 80% + CA</t>
        </is>
      </c>
      <c r="F63" s="36" t="n">
        <v>520</v>
      </c>
      <c r="G63" s="34" t="inlineStr">
        <is>
          <t>592×592×520</t>
        </is>
      </c>
      <c r="H63" s="37" t="n">
        <v>47</v>
      </c>
      <c r="I63" s="37" t="n">
        <v>78</v>
      </c>
      <c r="J63" s="37" t="n">
        <v>114</v>
      </c>
      <c r="K63" s="37" t="n">
        <v>151</v>
      </c>
      <c r="L63" s="37" t="n">
        <v>196</v>
      </c>
      <c r="M63" s="37" t="n">
        <v>239</v>
      </c>
      <c r="N63" s="37" t="n">
        <v>284</v>
      </c>
      <c r="O63" s="38">
        <f>IFERROR(IF(COUNT($H63:$N63)=7,INDEX(LINEST($H63:$N63,$H$6:$N$6^{1;2}),1,1),""),"")</f>
        <v/>
      </c>
      <c r="P63" s="38">
        <f>IFERROR(IF(COUNT($H63:$N63)=7,INDEX(LINEST($H63:$N63,$H$6:$N$6^{1;2}),1,2),""),"")</f>
        <v/>
      </c>
      <c r="Q63" s="38">
        <f>IFERROR(IF(COUNT($H63:$N63)=7,INDEX(LINEST($H63:$N63,$H$6:$N$6^{1;2}),1,3),""),"")</f>
        <v/>
      </c>
      <c r="R63" s="39">
        <f>IFERROR(IF(COUNT($H63:$N63)=7,INDEX(LINEST($H63:$N63,$H$6:$N$6^{1;2},TRUE(),TRUE()),3,1),""),"")</f>
        <v/>
      </c>
      <c r="S63" s="40">
        <f>IF(O63="","",TEXT(O63,"0.00")&amp;"·v² "&amp;IF(P63&gt;=0,"+ ","− ")&amp;TEXT(ABS(P63),"0.00")&amp;"·v "&amp;IF(Q63&gt;=0,"+ ","− ")&amp;TEXT(ABS(Q63),"0.00"))</f>
        <v/>
      </c>
      <c r="T63" s="41">
        <f>COUNT($H63:$N63)</f>
        <v/>
      </c>
      <c r="U63" s="41">
        <f>IFERROR(IF(O63="","",O63*($H$3/3600/$C$3)^2+P63*($H$3/3600/$C$3)+Q63),"")</f>
        <v/>
      </c>
      <c r="V63" s="36" t="inlineStr">
        <is>
          <t>⚠ NON UTILISÉE depuis la v1.1 (12/10/2026) : la fiche suit désormais la fiche fournisseur Deltricarb GCA (F7, ΔP 105/130/145 Pa par profondeur, pas de courbe). Ligne conservée pour mémoire = TITABAG F9 CA 2021 (F9, 520 mm, 47→284 Pa).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2026-06-21T12:48:48Z</dcterms:created>
  <dcterms:modified xsi:type="dcterms:W3CDTF">2026-10-12T12:54:48Z</dcterms:modified>
  <cp:revision>0</cp:revision>
</cp:coreProperties>
</file>