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onnées PDC R&amp;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0897A5"/>
      <sz val="9"/>
    </font>
    <font>
      <name val="Arial"/>
      <charset val="1"/>
      <family val="0"/>
      <i val="1"/>
      <color rgb="FFA0A0A0"/>
      <sz val="8"/>
    </font>
    <font>
      <name val="Arial"/>
      <charset val="1"/>
      <family val="0"/>
      <b val="1"/>
      <color rgb="FF1F3864"/>
      <sz val="9"/>
    </font>
    <font>
      <name val="Arial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FFF2CC"/>
        <bgColor rgb="FFFFFDE7"/>
      </patternFill>
    </fill>
    <fill>
      <patternFill patternType="solid">
        <fgColor rgb="FF1F3864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FFEEF2F8"/>
        <bgColor rgb="FFFFFD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2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2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2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" fontId="11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2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2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2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" fontId="11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7A5"/>
      <rgbColor rgb="FFBFBFBF"/>
      <rgbColor rgb="FF808080"/>
      <rgbColor rgb="FF9999FF"/>
      <rgbColor rgb="FF993366"/>
      <rgbColor rgb="FFFFFDE7"/>
      <rgbColor rgb="FFEE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baseColWidth="8" defaultColWidth="8.515625" defaultRowHeight="15" customHeight="0" zeroHeight="0" outlineLevelRow="0"/>
  <cols>
    <col width="17" customWidth="1" style="21" min="1" max="1"/>
    <col width="15" customWidth="1" style="21" min="2" max="3"/>
    <col width="10" customWidth="1" style="21" min="4" max="4"/>
    <col width="13" customWidth="1" style="21" min="5" max="5"/>
    <col width="7" customWidth="1" style="21" min="6" max="6"/>
    <col width="13" customWidth="1" style="21" min="7" max="7"/>
    <col width="7" customWidth="1" style="21" min="8" max="14"/>
    <col width="8" customWidth="1" style="21" min="15" max="18"/>
    <col width="26" customWidth="1" style="21" min="19" max="19"/>
    <col width="5" customWidth="1" style="21" min="20" max="20"/>
    <col width="9" customWidth="1" style="21" min="21" max="21"/>
    <col width="12" customWidth="1" style="21" min="22" max="22"/>
  </cols>
  <sheetData>
    <row r="1" ht="17.25" customHeight="1" s="22">
      <c r="A1" s="23" t="inlineStr">
        <is>
          <t>NETAIR — Données R&amp;D · Perte de charge (ΔP)</t>
        </is>
      </c>
    </row>
    <row r="2" ht="15" customHeight="1" s="22">
      <c r="A2" s="24" t="inlineStr">
        <is>
          <t>Modèle  ΔP = a·v² + b·v + c  —  saisir les ΔP mesurées (Pa, cases jaunes) ; vitesse, polynôme et R² se calculent automatiquement.</t>
        </is>
      </c>
    </row>
    <row r="3" ht="15" customHeight="1" s="22">
      <c r="A3" s="25" t="inlineStr">
        <is>
          <t>Section frontale (m²) :</t>
        </is>
      </c>
      <c r="C3" s="26">
        <f>0.592*0.592</f>
        <v/>
      </c>
      <c r="E3" s="25" t="inlineStr">
        <is>
          <t>Débit nominal fiche (m³/h) :</t>
        </is>
      </c>
      <c r="H3" s="27" t="n">
        <v>3400</v>
      </c>
    </row>
    <row r="4">
      <c r="A4" s="21" t="inlineStr">
        <is>
          <t>ΔP finale recommandée (EN 13053) = min(ΔP initiale + ADD ; 3 × ΔP initiale) — ADD = +50 Pa (Coarse) / +100 Pa (ePM10·ePM2,5·ePM1). Idem calculateur ; jamais les valeurs absolues Titanair.</t>
        </is>
      </c>
    </row>
    <row r="5" ht="30" customHeight="1" s="22">
      <c r="A5" s="28" t="inlineStr">
        <is>
          <t>N° FICHE</t>
        </is>
      </c>
      <c r="B5" s="28" t="inlineStr">
        <is>
          <t>FAMILLE</t>
        </is>
      </c>
      <c r="C5" s="28" t="inlineStr">
        <is>
          <t>RÉFÉRENCE</t>
        </is>
      </c>
      <c r="D5" s="28" t="inlineStr">
        <is>
          <t>CLASSE
EN 779</t>
        </is>
      </c>
      <c r="E5" s="28" t="inlineStr">
        <is>
          <t>ISO 16890</t>
        </is>
      </c>
      <c r="F5" s="28" t="inlineStr">
        <is>
          <t>ÉP.
(mm)</t>
        </is>
      </c>
      <c r="G5" s="28" t="inlineStr">
        <is>
          <t>DIMENSIONS</t>
        </is>
      </c>
      <c r="H5" s="29" t="n">
        <v>1000</v>
      </c>
      <c r="I5" s="29" t="n">
        <v>1500</v>
      </c>
      <c r="J5" s="29" t="n">
        <v>2000</v>
      </c>
      <c r="K5" s="29" t="n">
        <v>2500</v>
      </c>
      <c r="L5" s="29" t="n">
        <v>3000</v>
      </c>
      <c r="M5" s="29" t="n">
        <v>3500</v>
      </c>
      <c r="N5" s="29" t="n">
        <v>4000</v>
      </c>
      <c r="O5" s="28" t="inlineStr">
        <is>
          <t>a
(·v²)</t>
        </is>
      </c>
      <c r="P5" s="28" t="inlineStr">
        <is>
          <t>b
(·v)</t>
        </is>
      </c>
      <c r="Q5" s="28" t="inlineStr">
        <is>
          <t>c</t>
        </is>
      </c>
      <c r="R5" s="28" t="inlineStr">
        <is>
          <t>R²</t>
        </is>
      </c>
      <c r="S5" s="28" t="inlineStr">
        <is>
          <t>POLYNÔME  (a·v²+b·v+c)</t>
        </is>
      </c>
      <c r="T5" s="28" t="inlineStr">
        <is>
          <t>Pts</t>
        </is>
      </c>
      <c r="U5" s="28" t="inlineStr">
        <is>
          <t>ΔP nom.
(Pa)</t>
        </is>
      </c>
      <c r="V5" s="28" t="inlineStr">
        <is>
          <t>DATE
TEST</t>
        </is>
      </c>
    </row>
    <row r="6" ht="15" customHeight="1" s="22">
      <c r="G6" s="30" t="inlineStr">
        <is>
          <t>Vitesse (m/s) →</t>
        </is>
      </c>
      <c r="H6" s="31">
        <f>H5/3600/$C$3</f>
        <v/>
      </c>
      <c r="I6" s="31">
        <f>I5/3600/$C$3</f>
        <v/>
      </c>
      <c r="J6" s="31">
        <f>J5/3600/$C$3</f>
        <v/>
      </c>
      <c r="K6" s="31">
        <f>K5/3600/$C$3</f>
        <v/>
      </c>
      <c r="L6" s="31">
        <f>L5/3600/$C$3</f>
        <v/>
      </c>
      <c r="M6" s="31">
        <f>M5/3600/$C$3</f>
        <v/>
      </c>
      <c r="N6" s="31">
        <f>N5/3600/$C$3</f>
        <v/>
      </c>
      <c r="S6" s="32" t="inlineStr">
        <is>
          <t>Vitesse déduite de la section 592×592</t>
        </is>
      </c>
    </row>
    <row r="7" ht="15" customHeight="1" s="22">
      <c r="A7" s="33" t="inlineStr">
        <is>
          <t>FT-NETMETAL</t>
        </is>
      </c>
      <c r="B7" s="34" t="inlineStr">
        <is>
          <t>Préfiltres</t>
        </is>
      </c>
      <c r="C7" s="35" t="inlineStr">
        <is>
          <t>NETMETAL</t>
        </is>
      </c>
      <c r="D7" s="36" t="inlineStr">
        <is>
          <t>G3</t>
        </is>
      </c>
      <c r="E7" s="36" t="inlineStr">
        <is>
          <t>Coarse 50%</t>
        </is>
      </c>
      <c r="F7" s="36" t="n">
        <v>48</v>
      </c>
      <c r="G7" s="34" t="inlineStr">
        <is>
          <t>592×592×48</t>
        </is>
      </c>
      <c r="H7" s="37" t="n">
        <v>12</v>
      </c>
      <c r="I7" s="37" t="n">
        <v>19</v>
      </c>
      <c r="J7" s="37" t="n">
        <v>28</v>
      </c>
      <c r="K7" s="37" t="n">
        <v>39</v>
      </c>
      <c r="L7" s="37" t="n">
        <v>53</v>
      </c>
      <c r="M7" s="37" t="n"/>
      <c r="N7" s="37" t="n"/>
      <c r="O7" s="38" t="n">
        <v>7.34</v>
      </c>
      <c r="P7" s="38" t="n">
        <v>2.44</v>
      </c>
      <c r="Q7" s="38" t="n">
        <v>5.57</v>
      </c>
      <c r="R7" s="39" t="n">
        <v>0.9999</v>
      </c>
      <c r="S7" s="40">
        <f>IF(O7="","",TEXT(O7,"0.00")&amp;"·v² "&amp;IF(P7&gt;=0,"+ ","− ")&amp;TEXT(ABS(P7),"0.00")&amp;"·v "&amp;IF(Q7&gt;=0,"+ ","− ")&amp;TEXT(ABS(Q7),"0.00"))</f>
        <v/>
      </c>
      <c r="T7" s="41">
        <f>COUNT($H7:$N7)</f>
        <v/>
      </c>
      <c r="U7" s="41">
        <f>IFERROR(IF(O7="","",O7*($H$3/3600/$C$3)^2+P7*($H$3/3600/$C$3)+Q7),"")</f>
        <v/>
      </c>
      <c r="V7" s="36" t="inlineStr">
        <is>
          <t>fiche 2018 KMZ/A — fit 5 pts (0,79–2,38 m/s)</t>
        </is>
      </c>
    </row>
    <row r="8" ht="15" customHeight="1" s="22">
      <c r="A8" s="33" t="inlineStr">
        <is>
          <t>FT-NETFIL</t>
        </is>
      </c>
      <c r="B8" s="34" t="inlineStr">
        <is>
          <t>Préfiltres</t>
        </is>
      </c>
      <c r="C8" s="35" t="inlineStr">
        <is>
          <t>NETFIL</t>
        </is>
      </c>
      <c r="D8" s="36" t="inlineStr">
        <is>
          <t>G3</t>
        </is>
      </c>
      <c r="E8" s="36" t="inlineStr">
        <is>
          <t>Coarse 50%</t>
        </is>
      </c>
      <c r="F8" s="36" t="n">
        <v>4.5</v>
      </c>
      <c r="G8" s="34" t="inlineStr">
        <is>
          <t>cousu — sur mesure</t>
        </is>
      </c>
      <c r="H8" s="37" t="n"/>
      <c r="I8" s="37" t="n"/>
      <c r="J8" s="37" t="n"/>
      <c r="K8" s="37" t="n"/>
      <c r="L8" s="37" t="n"/>
      <c r="M8" s="37" t="n"/>
      <c r="N8" s="37" t="n"/>
      <c r="O8" s="38" t="n">
        <v>3.99</v>
      </c>
      <c r="P8" s="38" t="n">
        <v>7.24</v>
      </c>
      <c r="Q8" s="38" t="n">
        <v>0.97</v>
      </c>
      <c r="R8" s="39" t="n">
        <v>0.994</v>
      </c>
      <c r="S8" s="40">
        <f>IF(O8="","",TEXT(O8,"0.00")&amp;"·v² "&amp;IF(P8&gt;=0,"+ ","− ")&amp;TEXT(ABS(P8),"0.00")&amp;"·v "&amp;IF(Q8&gt;=0,"+ ","− ")&amp;TEXT(ABS(Q8),"0.00"))</f>
        <v/>
      </c>
      <c r="T8" s="41">
        <f>COUNT($H8:$N8)</f>
        <v/>
      </c>
      <c r="U8" s="41" t="n">
        <v>12</v>
      </c>
      <c r="V8" s="36" t="inlineStr">
        <is>
          <t>fiche v2_2020 (G3) — mesuré 0,16–1,5 m/s ; coeffs fit 6 pts ; nominal 1,0 m/s</t>
        </is>
      </c>
    </row>
    <row r="9" ht="20.25" customHeight="1" s="22">
      <c r="A9" s="33" t="inlineStr">
        <is>
          <t>FT-NETFIBRE</t>
        </is>
      </c>
      <c r="B9" s="34" t="inlineStr">
        <is>
          <t>Préfiltres</t>
        </is>
      </c>
      <c r="C9" s="35" t="inlineStr">
        <is>
          <t>NETFIBRE</t>
        </is>
      </c>
      <c r="D9" s="36" t="inlineStr">
        <is>
          <t>G4 (réf.) — gamme G2→M5</t>
        </is>
      </c>
      <c r="E9" s="36" t="inlineStr">
        <is>
          <t>Coarse 65% (réf.)</t>
        </is>
      </c>
      <c r="F9" s="36" t="n">
        <v>20</v>
      </c>
      <c r="G9" s="34" t="inlineStr">
        <is>
          <t>panneau découpé sur mesure · média rouleau 20×2 m</t>
        </is>
      </c>
      <c r="H9" s="37" t="n"/>
      <c r="I9" s="37" t="n"/>
      <c r="J9" s="37" t="n"/>
      <c r="K9" s="37" t="n"/>
      <c r="L9" s="37" t="n"/>
      <c r="M9" s="37" t="n"/>
      <c r="N9" s="37" t="n"/>
      <c r="O9" s="38" t="n">
        <v>14</v>
      </c>
      <c r="P9" s="38" t="n">
        <v>1.8</v>
      </c>
      <c r="Q9" s="38" t="n">
        <v>8</v>
      </c>
      <c r="R9" s="39" t="n">
        <v>0.998</v>
      </c>
      <c r="S9" s="40">
        <f>IF(O9="","",TEXT(O9,"0.00")&amp;"·v² "&amp;IF(P9&gt;=0,"+ ","− ")&amp;TEXT(ABS(P9),"0.00")&amp;"·v "&amp;IF(Q9&gt;=0,"+ ","− ")&amp;TEXT(ABS(Q9),"0.00"))</f>
        <v/>
      </c>
      <c r="T9" s="41">
        <f>COUNT($H9:$N9)</f>
        <v/>
      </c>
      <c r="U9" s="41" t="n">
        <v>42</v>
      </c>
      <c r="V9" s="36" t="inlineStr">
        <is>
          <t>Fit 4 pts courbe fiche 2018 TITAFIBRE G4 (0,5–2 m/s) ; coeffs = NETPLAN ; recoupé doc 2013 (ΔP init G4 38 Pa @1,5 m/s). Nominal 1,5 m/s (1900 m³/h, ΔP≈42 Pa). Classes G2/G3/M5 : à mesurer.</t>
        </is>
      </c>
    </row>
    <row r="10" ht="15" customHeight="1" s="22">
      <c r="A10" s="33" t="inlineStr">
        <is>
          <t>FT-NETPLY</t>
        </is>
      </c>
      <c r="B10" s="34" t="inlineStr">
        <is>
          <t>Préfiltres</t>
        </is>
      </c>
      <c r="C10" s="35" t="inlineStr">
        <is>
          <t>NETPLY</t>
        </is>
      </c>
      <c r="D10" s="36" t="inlineStr">
        <is>
          <t>G4</t>
        </is>
      </c>
      <c r="E10" s="36" t="inlineStr">
        <is>
          <t>Coarse 65%</t>
        </is>
      </c>
      <c r="F10" s="36" t="inlineStr">
        <is>
          <t>48</t>
        </is>
      </c>
      <c r="G10" s="34" t="inlineStr">
        <is>
          <t>592×592×48</t>
        </is>
      </c>
      <c r="H10" s="37" t="n">
        <v>9</v>
      </c>
      <c r="I10" s="37" t="n">
        <v>17</v>
      </c>
      <c r="J10" s="37" t="n">
        <v>27</v>
      </c>
      <c r="K10" s="37" t="n">
        <v>38</v>
      </c>
      <c r="L10" s="37" t="n">
        <v>52</v>
      </c>
      <c r="M10" s="37" t="n">
        <v>66</v>
      </c>
      <c r="N10" s="37" t="n">
        <v>83</v>
      </c>
      <c r="O10" s="38">
        <f>IFERROR(IF(COUNT($H10:$N10)=7,INDEX(LINEST($H10:$N10,$H$6:$N$6^{1;2}),1,1),""),"")</f>
        <v/>
      </c>
      <c r="P10" s="38">
        <f>IFERROR(IF(COUNT($H10:$N10)=7,INDEX(LINEST($H10:$N10,$H$6:$N$6^{1;2}),1,2),""),"")</f>
        <v/>
      </c>
      <c r="Q10" s="38">
        <f>IFERROR(IF(COUNT($H10:$N10)=7,INDEX(LINEST($H10:$N10,$H$6:$N$6^{1;2}),1,3),""),"")</f>
        <v/>
      </c>
      <c r="R10" s="39">
        <f>IFERROR(IF(COUNT($H10:$N10)=7,INDEX(LINEST($H10:$N10,$H$6:$N$6^{1;2},TRUE(),TRUE()),3,1),""),"")</f>
        <v/>
      </c>
      <c r="S10" s="40">
        <f>IF(O10="","",TEXT(O10,"0.00")&amp;"·v² "&amp;IF(P10&gt;=0,"+ ","− ")&amp;TEXT(ABS(P10),"0.00")&amp;"·v "&amp;IF(Q10&gt;=0,"+ ","− ")&amp;TEXT(ABS(Q10),"0.00"))</f>
        <v/>
      </c>
      <c r="T10" s="41">
        <f>COUNT($H10:$N10)</f>
        <v/>
      </c>
      <c r="U10" s="41">
        <f>IFERROR(IF(O10="","",O10*($H$3/3600/$C$3)^2+P10*($H$3/3600/$C$3)+Q10),"")</f>
        <v/>
      </c>
      <c r="V10" s="36" t="inlineStr">
        <is>
          <t>R&amp;D Titanair</t>
        </is>
      </c>
    </row>
    <row r="11" ht="15" customHeight="1" s="22">
      <c r="A11" s="33" t="inlineStr">
        <is>
          <t>FT-NETPLY</t>
        </is>
      </c>
      <c r="B11" s="34" t="inlineStr">
        <is>
          <t>Préfiltres</t>
        </is>
      </c>
      <c r="C11" s="35" t="inlineStr">
        <is>
          <t>NETPLY</t>
        </is>
      </c>
      <c r="D11" s="36" t="inlineStr">
        <is>
          <t>G4</t>
        </is>
      </c>
      <c r="E11" s="36" t="inlineStr">
        <is>
          <t>Coarse 65%</t>
        </is>
      </c>
      <c r="F11" s="36" t="inlineStr">
        <is>
          <t>98</t>
        </is>
      </c>
      <c r="G11" s="34" t="inlineStr">
        <is>
          <t>592×592×98</t>
        </is>
      </c>
      <c r="H11" s="37" t="n">
        <v>7</v>
      </c>
      <c r="I11" s="37" t="n">
        <v>15</v>
      </c>
      <c r="J11" s="37" t="n">
        <v>24</v>
      </c>
      <c r="K11" s="37" t="n">
        <v>35</v>
      </c>
      <c r="L11" s="37" t="n">
        <v>48</v>
      </c>
      <c r="M11" s="37" t="n">
        <v>63</v>
      </c>
      <c r="N11" s="37" t="n">
        <v>79</v>
      </c>
      <c r="O11" s="38">
        <f>IFERROR(IF(COUNT($H11:$N11)=7,INDEX(LINEST($H11:$N11,$H$6:$N$6^{1;2}),1,1),""),"")</f>
        <v/>
      </c>
      <c r="P11" s="38">
        <f>IFERROR(IF(COUNT($H11:$N11)=7,INDEX(LINEST($H11:$N11,$H$6:$N$6^{1;2}),1,2),""),"")</f>
        <v/>
      </c>
      <c r="Q11" s="38">
        <f>IFERROR(IF(COUNT($H11:$N11)=7,INDEX(LINEST($H11:$N11,$H$6:$N$6^{1;2}),1,3),""),"")</f>
        <v/>
      </c>
      <c r="R11" s="39">
        <f>IFERROR(IF(COUNT($H11:$N11)=7,INDEX(LINEST($H11:$N11,$H$6:$N$6^{1;2},TRUE(),TRUE()),3,1),""),"")</f>
        <v/>
      </c>
      <c r="S11" s="40">
        <f>IF(O11="","",TEXT(O11,"0.00")&amp;"·v² "&amp;IF(P11&gt;=0,"+ ","− ")&amp;TEXT(ABS(P11),"0.00")&amp;"·v "&amp;IF(Q11&gt;=0,"+ ","− ")&amp;TEXT(ABS(Q11),"0.00"))</f>
        <v/>
      </c>
      <c r="T11" s="41">
        <f>COUNT($H11:$N11)</f>
        <v/>
      </c>
      <c r="U11" s="41">
        <f>IFERROR(IF(O11="","",O11*($H$3/3600/$C$3)^2+P11*($H$3/3600/$C$3)+Q11),"")</f>
        <v/>
      </c>
      <c r="V11" s="36" t="inlineStr">
        <is>
          <t>R&amp;D Titanair</t>
        </is>
      </c>
    </row>
    <row r="12" ht="15" customHeight="1" s="22">
      <c r="A12" s="33" t="inlineStr">
        <is>
          <t>FT-NETPLY</t>
        </is>
      </c>
      <c r="B12" s="34" t="inlineStr">
        <is>
          <t>Préfiltres</t>
        </is>
      </c>
      <c r="C12" s="35" t="inlineStr">
        <is>
          <t>NETPLY</t>
        </is>
      </c>
      <c r="D12" s="36" t="inlineStr">
        <is>
          <t>M5</t>
        </is>
      </c>
      <c r="E12" s="36" t="inlineStr">
        <is>
          <t>ePM10 50%</t>
        </is>
      </c>
      <c r="F12" s="36" t="inlineStr">
        <is>
          <t>48</t>
        </is>
      </c>
      <c r="G12" s="34" t="inlineStr">
        <is>
          <t>592×592×48</t>
        </is>
      </c>
      <c r="H12" s="37" t="n">
        <v>11</v>
      </c>
      <c r="I12" s="37" t="n">
        <v>20</v>
      </c>
      <c r="J12" s="37" t="n">
        <v>30</v>
      </c>
      <c r="K12" s="37" t="n">
        <v>42</v>
      </c>
      <c r="L12" s="37" t="n">
        <v>57</v>
      </c>
      <c r="M12" s="37" t="n">
        <v>73</v>
      </c>
      <c r="N12" s="37" t="n">
        <v>91</v>
      </c>
      <c r="O12" s="38">
        <f>IFERROR(IF(COUNT($H12:$N12)=7,INDEX(LINEST($H12:$N12,$H$6:$N$6^{1;2}),1,1),""),"")</f>
        <v/>
      </c>
      <c r="P12" s="38">
        <f>IFERROR(IF(COUNT($H12:$N12)=7,INDEX(LINEST($H12:$N12,$H$6:$N$6^{1;2}),1,2),""),"")</f>
        <v/>
      </c>
      <c r="Q12" s="38">
        <f>IFERROR(IF(COUNT($H12:$N12)=7,INDEX(LINEST($H12:$N12,$H$6:$N$6^{1;2}),1,3),""),"")</f>
        <v/>
      </c>
      <c r="R12" s="39">
        <f>IFERROR(IF(COUNT($H12:$N12)=7,INDEX(LINEST($H12:$N12,$H$6:$N$6^{1;2},TRUE(),TRUE()),3,1),""),"")</f>
        <v/>
      </c>
      <c r="S12" s="40">
        <f>IF(O12="","",TEXT(O12,"0.00")&amp;"·v² "&amp;IF(P12&gt;=0,"+ ","− ")&amp;TEXT(ABS(P12),"0.00")&amp;"·v "&amp;IF(Q12&gt;=0,"+ ","− ")&amp;TEXT(ABS(Q12),"0.00"))</f>
        <v/>
      </c>
      <c r="T12" s="41">
        <f>COUNT($H12:$N12)</f>
        <v/>
      </c>
      <c r="U12" s="41">
        <f>IFERROR(IF(O12="","",O12*($H$3/3600/$C$3)^2+P12*($H$3/3600/$C$3)+Q12),"")</f>
        <v/>
      </c>
      <c r="V12" s="36" t="inlineStr">
        <is>
          <t>R&amp;D Titanair</t>
        </is>
      </c>
    </row>
    <row r="13" ht="15" customHeight="1" s="22">
      <c r="A13" s="33" t="inlineStr">
        <is>
          <t>FT-NETPLY</t>
        </is>
      </c>
      <c r="B13" s="34" t="inlineStr">
        <is>
          <t>Préfiltres</t>
        </is>
      </c>
      <c r="C13" s="35" t="inlineStr">
        <is>
          <t>NETPLY</t>
        </is>
      </c>
      <c r="D13" s="36" t="inlineStr">
        <is>
          <t>M5</t>
        </is>
      </c>
      <c r="E13" s="36" t="inlineStr">
        <is>
          <t>ePM10 50%</t>
        </is>
      </c>
      <c r="F13" s="36" t="inlineStr">
        <is>
          <t>98</t>
        </is>
      </c>
      <c r="G13" s="34" t="inlineStr">
        <is>
          <t>592×592×98</t>
        </is>
      </c>
      <c r="H13" s="37" t="n">
        <v>7</v>
      </c>
      <c r="I13" s="37" t="n">
        <v>15</v>
      </c>
      <c r="J13" s="37" t="n">
        <v>25</v>
      </c>
      <c r="K13" s="37" t="n">
        <v>36</v>
      </c>
      <c r="L13" s="37" t="n">
        <v>50</v>
      </c>
      <c r="M13" s="37" t="n">
        <v>66</v>
      </c>
      <c r="N13" s="37" t="n">
        <v>83</v>
      </c>
      <c r="O13" s="38">
        <f>IFERROR(IF(COUNT($H13:$N13)=7,INDEX(LINEST($H13:$N13,$H$6:$N$6^{1;2}),1,1),""),"")</f>
        <v/>
      </c>
      <c r="P13" s="38">
        <f>IFERROR(IF(COUNT($H13:$N13)=7,INDEX(LINEST($H13:$N13,$H$6:$N$6^{1;2}),1,2),""),"")</f>
        <v/>
      </c>
      <c r="Q13" s="38">
        <f>IFERROR(IF(COUNT($H13:$N13)=7,INDEX(LINEST($H13:$N13,$H$6:$N$6^{1;2}),1,3),""),"")</f>
        <v/>
      </c>
      <c r="R13" s="39">
        <f>IFERROR(IF(COUNT($H13:$N13)=7,INDEX(LINEST($H13:$N13,$H$6:$N$6^{1;2},TRUE(),TRUE()),3,1),""),"")</f>
        <v/>
      </c>
      <c r="S13" s="40">
        <f>IF(O13="","",TEXT(O13,"0.00")&amp;"·v² "&amp;IF(P13&gt;=0,"+ ","− ")&amp;TEXT(ABS(P13),"0.00")&amp;"·v "&amp;IF(Q13&gt;=0,"+ ","− ")&amp;TEXT(ABS(Q13),"0.00"))</f>
        <v/>
      </c>
      <c r="T13" s="41">
        <f>COUNT($H13:$N13)</f>
        <v/>
      </c>
      <c r="U13" s="41">
        <f>IFERROR(IF(O13="","",O13*($H$3/3600/$C$3)^2+P13*($H$3/3600/$C$3)+Q13),"")</f>
        <v/>
      </c>
      <c r="V13" s="36" t="inlineStr">
        <is>
          <t>R&amp;D Titanair</t>
        </is>
      </c>
    </row>
    <row r="14" ht="15" customHeight="1" s="22">
      <c r="A14" s="33" t="inlineStr">
        <is>
          <t>FT-NETPLAN</t>
        </is>
      </c>
      <c r="B14" s="34" t="inlineStr">
        <is>
          <t>Préfiltres</t>
        </is>
      </c>
      <c r="C14" s="35" t="inlineStr">
        <is>
          <t>NETPLAN</t>
        </is>
      </c>
      <c r="D14" s="36" t="inlineStr">
        <is>
          <t>G4</t>
        </is>
      </c>
      <c r="E14" s="36" t="inlineStr">
        <is>
          <t>Coarse 65%</t>
        </is>
      </c>
      <c r="F14" s="36" t="n">
        <v>25</v>
      </c>
      <c r="G14" s="34" t="inlineStr">
        <is>
          <t>592×592×25</t>
        </is>
      </c>
      <c r="H14" s="37" t="n">
        <v>18</v>
      </c>
      <c r="I14" s="37" t="n">
        <v>30</v>
      </c>
      <c r="J14" s="37" t="n">
        <v>46</v>
      </c>
      <c r="K14" s="37" t="n">
        <v>67</v>
      </c>
      <c r="L14" s="37" t="n">
        <v>91</v>
      </c>
      <c r="M14" s="37" t="n">
        <v>121</v>
      </c>
      <c r="N14" s="37" t="n">
        <v>154</v>
      </c>
      <c r="O14" s="38">
        <f>IFERROR(IF(COUNT($H14:$N14)=7,INDEX(LINEST($H14:$N14,$H$6:$N$6^{1;2}),1,1),""),"")</f>
        <v/>
      </c>
      <c r="P14" s="38">
        <f>IFERROR(IF(COUNT($H14:$N14)=7,INDEX(LINEST($H14:$N14,$H$6:$N$6^{1;2}),1,2),""),"")</f>
        <v/>
      </c>
      <c r="Q14" s="38">
        <f>IFERROR(IF(COUNT($H14:$N14)=7,INDEX(LINEST($H14:$N14,$H$6:$N$6^{1;2}),1,3),""),"")</f>
        <v/>
      </c>
      <c r="R14" s="39">
        <f>IFERROR(IF(COUNT($H14:$N14)=7,INDEX(LINEST($H14:$N14,$H$6:$N$6^{1;2},TRUE(),TRUE()),3,1),""),"")</f>
        <v/>
      </c>
      <c r="S14" s="40">
        <f>IF(O14="","",TEXT(O14,"0.00")&amp;"·v² "&amp;IF(P14&gt;=0,"+ ","− ")&amp;TEXT(ABS(P14),"0.00")&amp;"·v "&amp;IF(Q14&gt;=0,"+ ","− ")&amp;TEXT(ABS(Q14),"0.00"))</f>
        <v/>
      </c>
      <c r="T14" s="41">
        <f>COUNT($H14:$N14)</f>
        <v/>
      </c>
      <c r="U14" s="41">
        <f>IFERROR(IF(O14="","",O14*($H$3/3600/$C$3)^2+P14*($H$3/3600/$C$3)+Q14),"")</f>
        <v/>
      </c>
      <c r="V14" s="36" t="inlineStr">
        <is>
          <t>Fit courbe fiche 2018 (mesuré ≤2 m/s) — extrapolé &gt;2 m/s, à confirmer</t>
        </is>
      </c>
    </row>
    <row r="15" ht="15" customHeight="1" s="22">
      <c r="A15" s="33" t="inlineStr">
        <is>
          <t>FT-NETBAG-S</t>
        </is>
      </c>
      <c r="B15" s="34" t="inlineStr">
        <is>
          <t>Poches souples</t>
        </is>
      </c>
      <c r="C15" s="35" t="inlineStr">
        <is>
          <t>NETBAG S</t>
        </is>
      </c>
      <c r="D15" s="36" t="inlineStr">
        <is>
          <t>G4 → F9</t>
        </is>
      </c>
      <c r="E15" s="36" t="inlineStr">
        <is>
          <t>ePM10 → ePM1</t>
        </is>
      </c>
      <c r="F15" s="36" t="n"/>
      <c r="G15" s="34" t="inlineStr">
        <is>
          <t>592×592×380</t>
        </is>
      </c>
      <c r="H15" s="37" t="n"/>
      <c r="I15" s="37" t="n"/>
      <c r="J15" s="37" t="n"/>
      <c r="K15" s="37" t="n"/>
      <c r="L15" s="37" t="n"/>
      <c r="M15" s="37" t="n"/>
      <c r="N15" s="37" t="n"/>
      <c r="O15" s="38">
        <f>IFERROR(IF(COUNT($H15:$N15)=7,INDEX(LINEST($H15:$N15,$H$6:$N$6^{1;2}),1,1),""),"")</f>
        <v/>
      </c>
      <c r="P15" s="38">
        <f>IFERROR(IF(COUNT($H15:$N15)=7,INDEX(LINEST($H15:$N15,$H$6:$N$6^{1;2}),1,2),""),"")</f>
        <v/>
      </c>
      <c r="Q15" s="38">
        <f>IFERROR(IF(COUNT($H15:$N15)=7,INDEX(LINEST($H15:$N15,$H$6:$N$6^{1;2}),1,3),""),"")</f>
        <v/>
      </c>
      <c r="R15" s="39">
        <f>IFERROR(IF(COUNT($H15:$N15)=7,INDEX(LINEST($H15:$N15,$H$6:$N$6^{1;2},TRUE(),TRUE()),3,1),""),"")</f>
        <v/>
      </c>
      <c r="S15" s="40">
        <f>IF(O15="","",TEXT(O15,"0.00")&amp;"·v² "&amp;IF(P15&gt;=0,"+ ","− ")&amp;TEXT(ABS(P15),"0.00")&amp;"·v "&amp;IF(Q15&gt;=0,"+ ","− ")&amp;TEXT(ABS(Q15),"0.00"))</f>
        <v/>
      </c>
      <c r="T15" s="41">
        <f>COUNT($H15:$N15)</f>
        <v/>
      </c>
      <c r="U15" s="41">
        <f>IFERROR(IF(O15="","",O15*($H$3/3600/$C$3)^2+P15*($H$3/3600/$C$3)+Q15),"")</f>
        <v/>
      </c>
      <c r="V15" s="36" t="inlineStr">
        <is>
          <t>Détail par classe × longueur de poche : lignes 28–37 (10 déclinaisons mesurées). cf. CHECKLIST.md (section NETBAG S)</t>
        </is>
      </c>
    </row>
    <row r="16" ht="20.25" customHeight="1" s="22">
      <c r="A16" s="33" t="inlineStr">
        <is>
          <t>FT-NETPAK-S-BORA</t>
        </is>
      </c>
      <c r="B16" s="34" t="inlineStr">
        <is>
          <t>Compacts / poches rigides</t>
        </is>
      </c>
      <c r="C16" s="35" t="inlineStr">
        <is>
          <t>NETPAK S BORA</t>
        </is>
      </c>
      <c r="D16" s="36" t="inlineStr">
        <is>
          <t>M5 → F9</t>
        </is>
      </c>
      <c r="E16" s="36" t="inlineStr">
        <is>
          <t>ePM10 → ePM1</t>
        </is>
      </c>
      <c r="F16" s="36" t="n"/>
      <c r="G16" s="34" t="inlineStr">
        <is>
          <t>592×592×292</t>
        </is>
      </c>
      <c r="H16" s="37" t="n"/>
      <c r="I16" s="37" t="n"/>
      <c r="J16" s="37" t="n"/>
      <c r="K16" s="37" t="n"/>
      <c r="L16" s="37" t="n"/>
      <c r="M16" s="37" t="n"/>
      <c r="N16" s="37" t="n"/>
      <c r="O16" s="38">
        <f>IFERROR(IF(COUNT($H16:$N16)=7,INDEX(LINEST($H16:$N16,$H$6:$N$6^{1;2}),1,1),""),"")</f>
        <v/>
      </c>
      <c r="P16" s="38">
        <f>IFERROR(IF(COUNT($H16:$N16)=7,INDEX(LINEST($H16:$N16,$H$6:$N$6^{1;2}),1,2),""),"")</f>
        <v/>
      </c>
      <c r="Q16" s="38">
        <f>IFERROR(IF(COUNT($H16:$N16)=7,INDEX(LINEST($H16:$N16,$H$6:$N$6^{1;2}),1,3),""),"")</f>
        <v/>
      </c>
      <c r="R16" s="39">
        <f>IFERROR(IF(COUNT($H16:$N16)=7,INDEX(LINEST($H16:$N16,$H$6:$N$6^{1;2},TRUE(),TRUE()),3,1),""),"")</f>
        <v/>
      </c>
      <c r="S16" s="40">
        <f>IF(O16="","",TEXT(O16,"0.00")&amp;"·v² "&amp;IF(P16&gt;=0,"+ ","− ")&amp;TEXT(ABS(P16),"0.00")&amp;"·v "&amp;IF(Q16&gt;=0,"+ ","− ")&amp;TEXT(ABS(Q16),"0.00"))</f>
        <v/>
      </c>
      <c r="T16" s="41">
        <f>COUNT($H16:$N16)</f>
        <v/>
      </c>
      <c r="U16" s="41">
        <f>IFERROR(IF(O16="","",O16*($H$3/3600/$C$3)^2+P16*($H$3/3600/$C$3)+Q16),"")</f>
        <v/>
      </c>
      <c r="V16" s="36" t="n"/>
    </row>
    <row r="17" ht="20.25" customHeight="1" s="22">
      <c r="A17" s="33" t="inlineStr">
        <is>
          <t>FT-NETPAK-S-CILIA</t>
        </is>
      </c>
      <c r="B17" s="34" t="inlineStr">
        <is>
          <t>Compacts / poches rigides</t>
        </is>
      </c>
      <c r="C17" s="35" t="inlineStr">
        <is>
          <t>NETPAK S CILIA</t>
        </is>
      </c>
      <c r="D17" s="36" t="inlineStr">
        <is>
          <t>M5 → F9</t>
        </is>
      </c>
      <c r="E17" s="36" t="inlineStr">
        <is>
          <t>ePM1 55% → 70%</t>
        </is>
      </c>
      <c r="F17" s="36" t="n"/>
      <c r="G17" s="34" t="inlineStr">
        <is>
          <t>592×592×__</t>
        </is>
      </c>
      <c r="H17" s="37" t="n"/>
      <c r="I17" s="37" t="n"/>
      <c r="J17" s="37" t="n"/>
      <c r="K17" s="37" t="n"/>
      <c r="L17" s="37" t="n"/>
      <c r="M17" s="37" t="n"/>
      <c r="N17" s="37" t="n"/>
      <c r="O17" s="38">
        <f>IFERROR(IF(COUNT($H17:$N17)=7,INDEX(LINEST($H17:$N17,$H$6:$N$6^{1;2}),1,1),""),"")</f>
        <v/>
      </c>
      <c r="P17" s="38">
        <f>IFERROR(IF(COUNT($H17:$N17)=7,INDEX(LINEST($H17:$N17,$H$6:$N$6^{1;2}),1,2),""),"")</f>
        <v/>
      </c>
      <c r="Q17" s="38">
        <f>IFERROR(IF(COUNT($H17:$N17)=7,INDEX(LINEST($H17:$N17,$H$6:$N$6^{1;2}),1,3),""),"")</f>
        <v/>
      </c>
      <c r="R17" s="39">
        <f>IFERROR(IF(COUNT($H17:$N17)=7,INDEX(LINEST($H17:$N17,$H$6:$N$6^{1;2},TRUE(),TRUE()),3,1),""),"")</f>
        <v/>
      </c>
      <c r="S17" s="40">
        <f>IF(O17="","",TEXT(O17,"0.00")&amp;"·v² "&amp;IF(P17&gt;=0,"+ ","− ")&amp;TEXT(ABS(P17),"0.00")&amp;"·v "&amp;IF(Q17&gt;=0,"+ ","− ")&amp;TEXT(ABS(Q17),"0.00"))</f>
        <v/>
      </c>
      <c r="T17" s="41">
        <f>COUNT($H17:$N17)</f>
        <v/>
      </c>
      <c r="U17" s="41">
        <f>IFERROR(IF(O17="","",O17*($H$3/3600/$C$3)^2+P17*($H$3/3600/$C$3)+Q17),"")</f>
        <v/>
      </c>
      <c r="V17" s="36" t="inlineStr">
        <is>
          <t>Multi-classes M5→F9 × 48/98 — 10 séries détaillées en bas du tableau ; polynômes aussi dans produits/netpak-s-cilia.json</t>
        </is>
      </c>
    </row>
    <row r="18" ht="20.25" customHeight="1" s="22">
      <c r="A18" s="33" t="inlineStr">
        <is>
          <t>FT-NETPAK-S-AZUR</t>
        </is>
      </c>
      <c r="B18" s="34" t="inlineStr">
        <is>
          <t>Compacts / poches rigides</t>
        </is>
      </c>
      <c r="C18" s="35" t="inlineStr">
        <is>
          <t>NETPAK S AZUR</t>
        </is>
      </c>
      <c r="D18" s="36" t="inlineStr">
        <is>
          <t>M5 → F9</t>
        </is>
      </c>
      <c r="E18" s="36" t="inlineStr">
        <is>
          <t>ePM10 → ePM1</t>
        </is>
      </c>
      <c r="F18" s="36" t="n"/>
      <c r="G18" s="34" t="inlineStr">
        <is>
          <t>592×592×292</t>
        </is>
      </c>
      <c r="H18" s="37" t="n"/>
      <c r="I18" s="37" t="n"/>
      <c r="J18" s="37" t="n"/>
      <c r="K18" s="37" t="n"/>
      <c r="L18" s="37" t="n"/>
      <c r="M18" s="37" t="n"/>
      <c r="N18" s="37" t="n"/>
      <c r="O18" s="38">
        <f>IFERROR(IF(COUNT($H18:$N18)=7,INDEX(LINEST($H18:$N18,$H$6:$N$6^{1;2}),1,1),""),"")</f>
        <v/>
      </c>
      <c r="P18" s="38">
        <f>IFERROR(IF(COUNT($H18:$N18)=7,INDEX(LINEST($H18:$N18,$H$6:$N$6^{1;2}),1,2),""),"")</f>
        <v/>
      </c>
      <c r="Q18" s="38">
        <f>IFERROR(IF(COUNT($H18:$N18)=7,INDEX(LINEST($H18:$N18,$H$6:$N$6^{1;2}),1,3),""),"")</f>
        <v/>
      </c>
      <c r="R18" s="39">
        <f>IFERROR(IF(COUNT($H18:$N18)=7,INDEX(LINEST($H18:$N18,$H$6:$N$6^{1;2},TRUE(),TRUE()),3,1),""),"")</f>
        <v/>
      </c>
      <c r="S18" s="40">
        <f>IF(O18="","",TEXT(O18,"0.00")&amp;"·v² "&amp;IF(P18&gt;=0,"+ ","− ")&amp;TEXT(ABS(P18),"0.00")&amp;"·v "&amp;IF(Q18&gt;=0,"+ ","− ")&amp;TEXT(ABS(Q18),"0.00"))</f>
        <v/>
      </c>
      <c r="T18" s="41">
        <f>COUNT($H18:$N18)</f>
        <v/>
      </c>
      <c r="U18" s="41">
        <f>IFERROR(IF(O18="","",O18*($H$3/3600/$C$3)^2+P18*($H$3/3600/$C$3)+Q18),"")</f>
        <v/>
      </c>
      <c r="V18" s="36" t="n"/>
    </row>
    <row r="19" ht="20.25" customHeight="1" s="22">
      <c r="A19" s="33" t="inlineStr">
        <is>
          <t>FT-NETPAK-S-LUMEN</t>
        </is>
      </c>
      <c r="B19" s="34" t="inlineStr">
        <is>
          <t>Compacts / poches rigides</t>
        </is>
      </c>
      <c r="C19" s="35" t="inlineStr">
        <is>
          <t>NETPAK S LUMEN</t>
        </is>
      </c>
      <c r="D19" s="36" t="inlineStr">
        <is>
          <t>M5 → F9</t>
        </is>
      </c>
      <c r="E19" s="36" t="inlineStr">
        <is>
          <t>ePM10 → ePM1</t>
        </is>
      </c>
      <c r="F19" s="36" t="n"/>
      <c r="G19" s="34" t="inlineStr">
        <is>
          <t>592×592×292</t>
        </is>
      </c>
      <c r="H19" s="37" t="n"/>
      <c r="I19" s="37" t="n"/>
      <c r="J19" s="37" t="n"/>
      <c r="K19" s="37" t="n"/>
      <c r="L19" s="37" t="n"/>
      <c r="M19" s="37" t="n"/>
      <c r="N19" s="37" t="n"/>
      <c r="O19" s="38">
        <f>IFERROR(IF(COUNT($H19:$N19)=7,INDEX(LINEST($H19:$N19,$H$6:$N$6^{1;2}),1,1),""),"")</f>
        <v/>
      </c>
      <c r="P19" s="38">
        <f>IFERROR(IF(COUNT($H19:$N19)=7,INDEX(LINEST($H19:$N19,$H$6:$N$6^{1;2}),1,2),""),"")</f>
        <v/>
      </c>
      <c r="Q19" s="38">
        <f>IFERROR(IF(COUNT($H19:$N19)=7,INDEX(LINEST($H19:$N19,$H$6:$N$6^{1;2}),1,3),""),"")</f>
        <v/>
      </c>
      <c r="R19" s="39">
        <f>IFERROR(IF(COUNT($H19:$N19)=7,INDEX(LINEST($H19:$N19,$H$6:$N$6^{1;2},TRUE(),TRUE()),3,1),""),"")</f>
        <v/>
      </c>
      <c r="S19" s="40">
        <f>IF(O19="","",TEXT(O19,"0.00")&amp;"·v² "&amp;IF(P19&gt;=0,"+ ","− ")&amp;TEXT(ABS(P19),"0.00")&amp;"·v "&amp;IF(Q19&gt;=0,"+ ","− ")&amp;TEXT(ABS(Q19),"0.00"))</f>
        <v/>
      </c>
      <c r="T19" s="41">
        <f>COUNT($H19:$N19)</f>
        <v/>
      </c>
      <c r="U19" s="41">
        <f>IFERROR(IF(O19="","",O19*($H$3/3600/$C$3)^2+P19*($H$3/3600/$C$3)+Q19),"")</f>
        <v/>
      </c>
      <c r="V19" s="36" t="n"/>
    </row>
    <row r="20" ht="15" customHeight="1" s="22">
      <c r="A20" s="33" t="inlineStr">
        <is>
          <t>FT-NETCEL-V-AZUR</t>
        </is>
      </c>
      <c r="B20" s="34" t="inlineStr">
        <is>
          <t>HEPA / T.H.E</t>
        </is>
      </c>
      <c r="C20" s="35" t="inlineStr">
        <is>
          <t>NETCEL V AZUR</t>
        </is>
      </c>
      <c r="D20" s="36" t="inlineStr">
        <is>
          <t>E10 / H13</t>
        </is>
      </c>
      <c r="E20" s="36" t="inlineStr">
        <is>
          <t>ISO 50 U / 35 H</t>
        </is>
      </c>
      <c r="F20" s="36" t="n"/>
      <c r="G20" s="34" t="inlineStr">
        <is>
          <t>592×592×292</t>
        </is>
      </c>
      <c r="H20" s="37" t="n"/>
      <c r="I20" s="37" t="n"/>
      <c r="J20" s="37" t="n"/>
      <c r="K20" s="37" t="n"/>
      <c r="L20" s="37" t="n"/>
      <c r="M20" s="37" t="n"/>
      <c r="N20" s="37" t="n"/>
      <c r="O20" s="38">
        <f>IFERROR(IF(COUNT($H20:$N20)=7,INDEX(LINEST($H20:$N20,$H$6:$N$6^{1;2}),1,1),""),"")</f>
        <v/>
      </c>
      <c r="P20" s="38">
        <f>IFERROR(IF(COUNT($H20:$N20)=7,INDEX(LINEST($H20:$N20,$H$6:$N$6^{1;2}),1,2),""),"")</f>
        <v/>
      </c>
      <c r="Q20" s="38">
        <f>IFERROR(IF(COUNT($H20:$N20)=7,INDEX(LINEST($H20:$N20,$H$6:$N$6^{1;2}),1,3),""),"")</f>
        <v/>
      </c>
      <c r="R20" s="39">
        <f>IFERROR(IF(COUNT($H20:$N20)=7,INDEX(LINEST($H20:$N20,$H$6:$N$6^{1;2},TRUE(),TRUE()),3,1),""),"")</f>
        <v/>
      </c>
      <c r="S20" s="40">
        <f>IF(O20="","",TEXT(O20,"0.00")&amp;"·v² "&amp;IF(P20&gt;=0,"+ ","− ")&amp;TEXT(ABS(P20),"0.00")&amp;"·v "&amp;IF(Q20&gt;=0,"+ ","− ")&amp;TEXT(ABS(Q20),"0.00"))</f>
        <v/>
      </c>
      <c r="T20" s="41">
        <f>COUNT($H20:$N20)</f>
        <v/>
      </c>
      <c r="U20" s="41">
        <f>IFERROR(IF(O20="","",O20*($H$3/3600/$C$3)^2+P20*($H$3/3600/$C$3)+Q20),"")</f>
        <v/>
      </c>
      <c r="V20" s="36" t="n"/>
    </row>
    <row r="21" ht="15" customHeight="1" s="22">
      <c r="A21" s="33" t="inlineStr">
        <is>
          <t>FT-NETCEL-V-NIVAL</t>
        </is>
      </c>
      <c r="B21" s="34" t="inlineStr">
        <is>
          <t>HEPA / T.H.E</t>
        </is>
      </c>
      <c r="C21" s="35" t="inlineStr">
        <is>
          <t>NETCEL V NIVAL</t>
        </is>
      </c>
      <c r="D21" s="36" t="inlineStr">
        <is>
          <t>E10 → H14</t>
        </is>
      </c>
      <c r="E21" s="36" t="inlineStr">
        <is>
          <t>ISO 35 H</t>
        </is>
      </c>
      <c r="F21" s="36" t="n"/>
      <c r="G21" s="34" t="inlineStr">
        <is>
          <t>592×592×292</t>
        </is>
      </c>
      <c r="H21" s="37" t="n"/>
      <c r="I21" s="37" t="n"/>
      <c r="J21" s="37" t="n"/>
      <c r="K21" s="37" t="n"/>
      <c r="L21" s="37" t="n"/>
      <c r="M21" s="37" t="n"/>
      <c r="N21" s="37" t="n"/>
      <c r="O21" s="38">
        <f>IFERROR(IF(COUNT($H21:$N21)=7,INDEX(LINEST($H21:$N21,$H$6:$N$6^{1;2}),1,1),""),"")</f>
        <v/>
      </c>
      <c r="P21" s="38">
        <f>IFERROR(IF(COUNT($H21:$N21)=7,INDEX(LINEST($H21:$N21,$H$6:$N$6^{1;2}),1,2),""),"")</f>
        <v/>
      </c>
      <c r="Q21" s="38">
        <f>IFERROR(IF(COUNT($H21:$N21)=7,INDEX(LINEST($H21:$N21,$H$6:$N$6^{1;2}),1,3),""),"")</f>
        <v/>
      </c>
      <c r="R21" s="39">
        <f>IFERROR(IF(COUNT($H21:$N21)=7,INDEX(LINEST($H21:$N21,$H$6:$N$6^{1;2},TRUE(),TRUE()),3,1),""),"")</f>
        <v/>
      </c>
      <c r="S21" s="40">
        <f>IF(O21="","",TEXT(O21,"0.00")&amp;"·v² "&amp;IF(P21&gt;=0,"+ ","− ")&amp;TEXT(ABS(P21),"0.00")&amp;"·v "&amp;IF(Q21&gt;=0,"+ ","− ")&amp;TEXT(ABS(Q21),"0.00"))</f>
        <v/>
      </c>
      <c r="T21" s="41">
        <f>COUNT($H21:$N21)</f>
        <v/>
      </c>
      <c r="U21" s="41">
        <f>IFERROR(IF(O21="","",O21*($H$3/3600/$C$3)^2+P21*($H$3/3600/$C$3)+Q21),"")</f>
        <v/>
      </c>
      <c r="V21" s="36" t="n"/>
    </row>
    <row r="22" ht="15" customHeight="1" s="22">
      <c r="A22" s="33" t="inlineStr">
        <is>
          <t>FT-NETPAK-V-LAM</t>
        </is>
      </c>
      <c r="B22" s="34" t="inlineStr">
        <is>
          <t>HEPA / T.H.E</t>
        </is>
      </c>
      <c r="C22" s="35" t="inlineStr">
        <is>
          <t>NETCEL V LAM</t>
        </is>
      </c>
      <c r="D22" s="36" t="inlineStr">
        <is>
          <t>H14</t>
        </is>
      </c>
      <c r="E22" s="36" t="inlineStr">
        <is>
          <t>EN 1822 ≥99,995%</t>
        </is>
      </c>
      <c r="F22" s="36" t="n">
        <v>68</v>
      </c>
      <c r="G22" s="34" t="inlineStr">
        <is>
          <t>610×610×68</t>
        </is>
      </c>
      <c r="H22" s="37" t="n"/>
      <c r="I22" s="37" t="n"/>
      <c r="J22" s="37" t="n"/>
      <c r="K22" s="37" t="n"/>
      <c r="L22" s="37" t="n"/>
      <c r="M22" s="37" t="n"/>
      <c r="N22" s="37" t="n"/>
      <c r="O22" s="38" t="n">
        <v>97.91</v>
      </c>
      <c r="P22" s="38" t="n">
        <v>263.287</v>
      </c>
      <c r="Q22" s="38" t="n">
        <v>-12.4</v>
      </c>
      <c r="R22" s="39" t="n">
        <v>0.9999</v>
      </c>
      <c r="S22" s="40" t="inlineStr">
        <is>
          <t>97,91·v²+263,287·v−12,4 (aire 610²)</t>
        </is>
      </c>
      <c r="T22" s="41">
        <f>COUNT($H22:$N22)</f>
        <v/>
      </c>
      <c r="U22" s="41" t="n">
        <v>125</v>
      </c>
      <c r="V22" s="36" t="inlineStr">
        <is>
          <t>HEPA laminaire — aref 610²=0,3721 ; débits 120→600 m³/h (v 0,09→0,45) ; ΔP 12·38·65·95·125 ; ΔP finale 2× (EN 1822) ; source TITAPAK V LAM H14 2022</t>
        </is>
      </c>
    </row>
    <row r="23" ht="15" customHeight="1" s="22">
      <c r="A23" s="33" t="inlineStr">
        <is>
          <t>FT-NETCARB-CILIA</t>
        </is>
      </c>
      <c r="B23" s="34" t="inlineStr">
        <is>
          <t>Charbon actif</t>
        </is>
      </c>
      <c r="C23" s="35" t="inlineStr">
        <is>
          <t>NETCARB CILIA</t>
        </is>
      </c>
      <c r="D23" s="36" t="inlineStr">
        <is>
          <t>—</t>
        </is>
      </c>
      <c r="E23" s="36" t="inlineStr">
        <is>
          <t>Moléculaire</t>
        </is>
      </c>
      <c r="F23" s="36" t="n"/>
      <c r="G23" s="34" t="inlineStr">
        <is>
          <t>592×592×48</t>
        </is>
      </c>
      <c r="H23" s="37" t="n"/>
      <c r="I23" s="37" t="n"/>
      <c r="J23" s="37" t="n"/>
      <c r="K23" s="37" t="n"/>
      <c r="L23" s="37" t="n"/>
      <c r="M23" s="37" t="n"/>
      <c r="N23" s="37" t="n"/>
      <c r="O23" s="38">
        <f>IFERROR(IF(COUNT($H23:$N23)=7,INDEX(LINEST($H23:$N23,$H$6:$N$6^{1;2}),1,1),""),"")</f>
        <v/>
      </c>
      <c r="P23" s="38">
        <f>IFERROR(IF(COUNT($H23:$N23)=7,INDEX(LINEST($H23:$N23,$H$6:$N$6^{1;2}),1,2),""),"")</f>
        <v/>
      </c>
      <c r="Q23" s="38">
        <f>IFERROR(IF(COUNT($H23:$N23)=7,INDEX(LINEST($H23:$N23,$H$6:$N$6^{1;2}),1,3),""),"")</f>
        <v/>
      </c>
      <c r="R23" s="39">
        <f>IFERROR(IF(COUNT($H23:$N23)=7,INDEX(LINEST($H23:$N23,$H$6:$N$6^{1;2},TRUE(),TRUE()),3,1),""),"")</f>
        <v/>
      </c>
      <c r="S23" s="40">
        <f>IF(O23="","",TEXT(O23,"0.00")&amp;"·v² "&amp;IF(P23&gt;=0,"+ ","− ")&amp;TEXT(ABS(P23),"0.00")&amp;"·v "&amp;IF(Q23&gt;=0,"+ ","− ")&amp;TEXT(ABS(Q23),"0.00"))</f>
        <v/>
      </c>
      <c r="T23" s="41">
        <f>COUNT($H23:$N23)</f>
        <v/>
      </c>
      <c r="U23" s="41">
        <f>IFERROR(IF(O23="","",O23*($H$3/3600/$C$3)^2+P23*($H$3/3600/$C$3)+Q23),"")</f>
        <v/>
      </c>
      <c r="V23" s="36" t="n"/>
    </row>
    <row r="24" ht="15" customHeight="1" s="22">
      <c r="A24" s="33" t="inlineStr">
        <is>
          <t>FT-NETCARB-AZUR</t>
        </is>
      </c>
      <c r="B24" s="34" t="inlineStr">
        <is>
          <t>Charbon actif</t>
        </is>
      </c>
      <c r="C24" s="35" t="inlineStr">
        <is>
          <t>NETCARB AZUR</t>
        </is>
      </c>
      <c r="D24" s="36" t="inlineStr">
        <is>
          <t>—</t>
        </is>
      </c>
      <c r="E24" s="36" t="inlineStr">
        <is>
          <t>Moléculaire</t>
        </is>
      </c>
      <c r="F24" s="36" t="n"/>
      <c r="G24" s="34" t="inlineStr">
        <is>
          <t>592×592×292</t>
        </is>
      </c>
      <c r="H24" s="37" t="n"/>
      <c r="I24" s="37" t="n"/>
      <c r="J24" s="37" t="n"/>
      <c r="K24" s="37" t="n"/>
      <c r="L24" s="37" t="n"/>
      <c r="M24" s="37" t="n"/>
      <c r="N24" s="37" t="n"/>
      <c r="O24" s="38">
        <f>IFERROR(IF(COUNT($H24:$N24)=7,INDEX(LINEST($H24:$N24,$H$6:$N$6^{1;2}),1,1),""),"")</f>
        <v/>
      </c>
      <c r="P24" s="38">
        <f>IFERROR(IF(COUNT($H24:$N24)=7,INDEX(LINEST($H24:$N24,$H$6:$N$6^{1;2}),1,2),""),"")</f>
        <v/>
      </c>
      <c r="Q24" s="38">
        <f>IFERROR(IF(COUNT($H24:$N24)=7,INDEX(LINEST($H24:$N24,$H$6:$N$6^{1;2}),1,3),""),"")</f>
        <v/>
      </c>
      <c r="R24" s="39">
        <f>IFERROR(IF(COUNT($H24:$N24)=7,INDEX(LINEST($H24:$N24,$H$6:$N$6^{1;2},TRUE(),TRUE()),3,1),""),"")</f>
        <v/>
      </c>
      <c r="S24" s="40">
        <f>IF(O24="","",TEXT(O24,"0.00")&amp;"·v² "&amp;IF(P24&gt;=0,"+ ","− ")&amp;TEXT(ABS(P24),"0.00")&amp;"·v "&amp;IF(Q24&gt;=0,"+ ","− ")&amp;TEXT(ABS(Q24),"0.00"))</f>
        <v/>
      </c>
      <c r="T24" s="41">
        <f>COUNT($H24:$N24)</f>
        <v/>
      </c>
      <c r="U24" s="41">
        <f>IFERROR(IF(O24="","",O24*($H$3/3600/$C$3)^2+P24*($H$3/3600/$C$3)+Q24),"")</f>
        <v/>
      </c>
      <c r="V24" s="36" t="n"/>
    </row>
    <row r="25" ht="15" customHeight="1" s="22">
      <c r="A25" s="33" t="inlineStr">
        <is>
          <t>FT-NETCARB-NIVAL</t>
        </is>
      </c>
      <c r="B25" s="34" t="inlineStr">
        <is>
          <t>Charbon actif</t>
        </is>
      </c>
      <c r="C25" s="35" t="inlineStr">
        <is>
          <t>NETCARB NIVAL</t>
        </is>
      </c>
      <c r="D25" s="36" t="inlineStr">
        <is>
          <t>—</t>
        </is>
      </c>
      <c r="E25" s="36" t="inlineStr">
        <is>
          <t>Moléculaire</t>
        </is>
      </c>
      <c r="F25" s="36" t="n"/>
      <c r="G25" s="34" t="inlineStr">
        <is>
          <t>610×610×292</t>
        </is>
      </c>
      <c r="H25" s="37" t="n"/>
      <c r="I25" s="37" t="n"/>
      <c r="J25" s="37" t="n"/>
      <c r="K25" s="37" t="n"/>
      <c r="L25" s="37" t="n"/>
      <c r="M25" s="37" t="n"/>
      <c r="N25" s="37" t="n"/>
      <c r="O25" s="38">
        <f>IFERROR(IF(COUNT($H25:$N25)=7,INDEX(LINEST($H25:$N25,$H$6:$N$6^{1;2}),1,1),""),"")</f>
        <v/>
      </c>
      <c r="P25" s="38">
        <f>IFERROR(IF(COUNT($H25:$N25)=7,INDEX(LINEST($H25:$N25,$H$6:$N$6^{1;2}),1,2),""),"")</f>
        <v/>
      </c>
      <c r="Q25" s="38">
        <f>IFERROR(IF(COUNT($H25:$N25)=7,INDEX(LINEST($H25:$N25,$H$6:$N$6^{1;2}),1,3),""),"")</f>
        <v/>
      </c>
      <c r="R25" s="39">
        <f>IFERROR(IF(COUNT($H25:$N25)=7,INDEX(LINEST($H25:$N25,$H$6:$N$6^{1;2},TRUE(),TRUE()),3,1),""),"")</f>
        <v/>
      </c>
      <c r="S25" s="40">
        <f>IF(O25="","",TEXT(O25,"0.00")&amp;"·v² "&amp;IF(P25&gt;=0,"+ ","− ")&amp;TEXT(ABS(P25),"0.00")&amp;"·v "&amp;IF(Q25&gt;=0,"+ ","− ")&amp;TEXT(ABS(Q25),"0.00"))</f>
        <v/>
      </c>
      <c r="T25" s="41">
        <f>COUNT($H25:$N25)</f>
        <v/>
      </c>
      <c r="U25" s="41">
        <f>IFERROR(IF(O25="","",O25*($H$3/3600/$C$3)^2+P25*($H$3/3600/$C$3)+Q25),"")</f>
        <v/>
      </c>
      <c r="V25" s="36" t="n"/>
    </row>
    <row r="26" ht="15" customHeight="1" s="22">
      <c r="A26" s="33" t="inlineStr">
        <is>
          <t>FT-NETCARB-BAG</t>
        </is>
      </c>
      <c r="B26" s="34" t="inlineStr">
        <is>
          <t>Charbon actif</t>
        </is>
      </c>
      <c r="C26" s="35" t="inlineStr">
        <is>
          <t>NETCARB BAG</t>
        </is>
      </c>
      <c r="D26" s="36" t="inlineStr">
        <is>
          <t>—</t>
        </is>
      </c>
      <c r="E26" s="36" t="inlineStr">
        <is>
          <t>Moléculaire</t>
        </is>
      </c>
      <c r="F26" s="36" t="n"/>
      <c r="G26" s="34" t="inlineStr">
        <is>
          <t>592×592×380</t>
        </is>
      </c>
      <c r="H26" s="37" t="n"/>
      <c r="I26" s="37" t="n"/>
      <c r="J26" s="37" t="n"/>
      <c r="K26" s="37" t="n"/>
      <c r="L26" s="37" t="n"/>
      <c r="M26" s="37" t="n"/>
      <c r="N26" s="37" t="n"/>
      <c r="O26" s="38">
        <f>IFERROR(IF(COUNT($H26:$N26)=7,INDEX(LINEST($H26:$N26,$H$6:$N$6^{1;2}),1,1),""),"")</f>
        <v/>
      </c>
      <c r="P26" s="38">
        <f>IFERROR(IF(COUNT($H26:$N26)=7,INDEX(LINEST($H26:$N26,$H$6:$N$6^{1;2}),1,2),""),"")</f>
        <v/>
      </c>
      <c r="Q26" s="38">
        <f>IFERROR(IF(COUNT($H26:$N26)=7,INDEX(LINEST($H26:$N26,$H$6:$N$6^{1;2}),1,3),""),"")</f>
        <v/>
      </c>
      <c r="R26" s="39">
        <f>IFERROR(IF(COUNT($H26:$N26)=7,INDEX(LINEST($H26:$N26,$H$6:$N$6^{1;2},TRUE(),TRUE()),3,1),""),"")</f>
        <v/>
      </c>
      <c r="S26" s="40">
        <f>IF(O26="","",TEXT(O26,"0.00")&amp;"·v² "&amp;IF(P26&gt;=0,"+ ","− ")&amp;TEXT(ABS(P26),"0.00")&amp;"·v "&amp;IF(Q26&gt;=0,"+ ","− ")&amp;TEXT(ABS(Q26),"0.00"))</f>
        <v/>
      </c>
      <c r="T26" s="41">
        <f>COUNT($H26:$N26)</f>
        <v/>
      </c>
      <c r="U26" s="41">
        <f>IFERROR(IF(O26="","",O26*($H$3/3600/$C$3)^2+P26*($H$3/3600/$C$3)+Q26),"")</f>
        <v/>
      </c>
      <c r="V26" s="36" t="n"/>
    </row>
    <row r="27" ht="20.25" customHeight="1" s="22">
      <c r="A27" s="33" t="inlineStr">
        <is>
          <t>FT-NETPAK-S-DUO</t>
        </is>
      </c>
      <c r="B27" s="34" t="inlineStr">
        <is>
          <t>Combinés</t>
        </is>
      </c>
      <c r="C27" s="35" t="inlineStr">
        <is>
          <t>NETPAK S DUO</t>
        </is>
      </c>
      <c r="D27" s="36" t="inlineStr">
        <is>
          <t>F7+CA</t>
        </is>
      </c>
      <c r="E27" s="36" t="inlineStr">
        <is>
          <t>ePM1 50%+CA</t>
        </is>
      </c>
      <c r="F27" s="36" t="n">
        <v>48</v>
      </c>
      <c r="G27" s="34" t="inlineStr">
        <is>
          <t>592×592×48</t>
        </is>
      </c>
      <c r="H27" s="37" t="n">
        <v>36</v>
      </c>
      <c r="I27" s="37" t="n">
        <v>58</v>
      </c>
      <c r="J27" s="37" t="n">
        <v>88</v>
      </c>
      <c r="K27" s="37" t="n">
        <v>121</v>
      </c>
      <c r="L27" s="37" t="n">
        <v>157</v>
      </c>
      <c r="M27" s="37" t="n">
        <v>198</v>
      </c>
      <c r="N27" s="37" t="n">
        <v>247</v>
      </c>
      <c r="O27" s="38" t="n">
        <v>15.013</v>
      </c>
      <c r="P27" s="38" t="n">
        <v>28.882</v>
      </c>
      <c r="Q27" s="38" t="n">
        <v>3.537</v>
      </c>
      <c r="R27" s="39" t="n">
        <v>0.9998</v>
      </c>
      <c r="S27" s="40" t="inlineStr">
        <is>
          <t>15,013·v²+28,882·v+3,537</t>
        </is>
      </c>
      <c r="T27" s="41" t="n">
        <v>7</v>
      </c>
      <c r="U27" s="41" t="n">
        <v>190</v>
      </c>
      <c r="V27" s="36" t="inlineStr">
        <is>
          <t>F7 GREENTEX + charbon actif (TITAPAK S PRISME DUO F7 GR-CA ep48) ; ΔP combinée</t>
        </is>
      </c>
    </row>
    <row r="28">
      <c r="A28" s="33" t="inlineStr">
        <is>
          <t>FT-NETBAG-S</t>
        </is>
      </c>
      <c r="B28" s="34" t="inlineStr">
        <is>
          <t>Poches souples</t>
        </is>
      </c>
      <c r="C28" s="35" t="inlineStr">
        <is>
          <t>NETBAG S M5</t>
        </is>
      </c>
      <c r="D28" s="36" t="inlineStr">
        <is>
          <t>M5</t>
        </is>
      </c>
      <c r="E28" s="36" t="inlineStr">
        <is>
          <t>ePM10 50%</t>
        </is>
      </c>
      <c r="F28" s="36" t="n"/>
      <c r="G28" s="34" t="inlineStr">
        <is>
          <t>592×592×380</t>
        </is>
      </c>
      <c r="H28" s="37" t="n">
        <v>20</v>
      </c>
      <c r="I28" s="37" t="n">
        <v>29</v>
      </c>
      <c r="J28" s="37" t="n">
        <v>40</v>
      </c>
      <c r="K28" s="37" t="n">
        <v>53</v>
      </c>
      <c r="L28" s="37" t="n">
        <v>68</v>
      </c>
      <c r="M28" s="37" t="n">
        <v>86</v>
      </c>
      <c r="N28" s="37" t="n">
        <v>106</v>
      </c>
      <c r="O28" s="38">
        <f>IFERROR(IF(COUNT($H28:$N28)=7,INDEX(LINEST($H28:$N28,$H$6:$N$6^{1;2}),1,1),""),"")</f>
        <v/>
      </c>
      <c r="P28" s="38">
        <f>IFERROR(IF(COUNT($H28:$N28)=7,INDEX(LINEST($H28:$N28,$H$6:$N$6^{1;2}),1,2),""),"")</f>
        <v/>
      </c>
      <c r="Q28" s="38">
        <f>IFERROR(IF(COUNT($H28:$N28)=7,INDEX(LINEST($H28:$N28,$H$6:$N$6^{1;2}),1,3),""),"")</f>
        <v/>
      </c>
      <c r="R28" s="39">
        <f>IFERROR(IF(COUNT($H28:$N28)=7,INDEX(LINEST($H28:$N28,$H$6:$N$6^{1;2},TRUE(),TRUE()),3,1),""),"")</f>
        <v/>
      </c>
      <c r="S28" s="40">
        <f>IF(O28="","",TEXT(O28,"0.00")&amp;"·v² "&amp;IF(P28&gt;=0,"+ ","− ")&amp;TEXT(ABS(P28),"0.00")&amp;"·v "&amp;IF(Q28&gt;=0,"+ ","− ")&amp;TEXT(ABS(Q28),"0.00"))</f>
        <v/>
      </c>
      <c r="T28" s="41">
        <f>COUNT($H28:$N28)</f>
        <v/>
      </c>
      <c r="U28" s="41">
        <f>IFERROR(IF(O28="","",O28*($H$3/3600/$C$3)^2+P28*($H$3/3600/$C$3)+Q28),"")</f>
        <v/>
      </c>
      <c r="V28" s="36" t="inlineStr">
        <is>
          <t>Extrait courbe vectorielle PDF TITABAG 2018 (recalé sur axes ; méthode validée F9 p500). Fit auto LINEST.</t>
        </is>
      </c>
    </row>
    <row r="29">
      <c r="A29" s="33" t="inlineStr">
        <is>
          <t>FT-NETBAG-S</t>
        </is>
      </c>
      <c r="B29" s="34" t="inlineStr">
        <is>
          <t>Poches souples</t>
        </is>
      </c>
      <c r="C29" s="35" t="inlineStr">
        <is>
          <t>NETBAG S M5</t>
        </is>
      </c>
      <c r="D29" s="36" t="inlineStr">
        <is>
          <t>M5</t>
        </is>
      </c>
      <c r="E29" s="36" t="inlineStr">
        <is>
          <t>ePM10 50%</t>
        </is>
      </c>
      <c r="F29" s="36" t="n"/>
      <c r="G29" s="34" t="inlineStr">
        <is>
          <t>592×592×550</t>
        </is>
      </c>
      <c r="H29" s="37" t="n">
        <v>15</v>
      </c>
      <c r="I29" s="37" t="n">
        <v>20</v>
      </c>
      <c r="J29" s="37" t="n">
        <v>26</v>
      </c>
      <c r="K29" s="37" t="n">
        <v>33</v>
      </c>
      <c r="L29" s="37" t="n">
        <v>41</v>
      </c>
      <c r="M29" s="37" t="n">
        <v>50</v>
      </c>
      <c r="N29" s="37" t="n">
        <v>61</v>
      </c>
      <c r="O29" s="38">
        <f>IFERROR(IF(COUNT($H29:$N29)=7,INDEX(LINEST($H29:$N29,$H$6:$N$6^{1;2}),1,1),""),"")</f>
        <v/>
      </c>
      <c r="P29" s="38">
        <f>IFERROR(IF(COUNT($H29:$N29)=7,INDEX(LINEST($H29:$N29,$H$6:$N$6^{1;2}),1,2),""),"")</f>
        <v/>
      </c>
      <c r="Q29" s="38">
        <f>IFERROR(IF(COUNT($H29:$N29)=7,INDEX(LINEST($H29:$N29,$H$6:$N$6^{1;2}),1,3),""),"")</f>
        <v/>
      </c>
      <c r="R29" s="39">
        <f>IFERROR(IF(COUNT($H29:$N29)=7,INDEX(LINEST($H29:$N29,$H$6:$N$6^{1;2},TRUE(),TRUE()),3,1),""),"")</f>
        <v/>
      </c>
      <c r="S29" s="40">
        <f>IF(O29="","",TEXT(O29,"0.00")&amp;"·v² "&amp;IF(P29&gt;=0,"+ ","− ")&amp;TEXT(ABS(P29),"0.00")&amp;"·v "&amp;IF(Q29&gt;=0,"+ ","− ")&amp;TEXT(ABS(Q29),"0.00"))</f>
        <v/>
      </c>
      <c r="T29" s="41">
        <f>COUNT($H29:$N29)</f>
        <v/>
      </c>
      <c r="U29" s="41">
        <f>IFERROR(IF(O29="","",O29*($H$3/3600/$C$3)^2+P29*($H$3/3600/$C$3)+Q29),"")</f>
        <v/>
      </c>
      <c r="V29" s="36" t="inlineStr">
        <is>
          <t>Extrait courbe vectorielle PDF TITABAG 2018 (recalé sur axes ; méthode validée F9 p500). Fit auto LINEST. ⚠ À VALIDER (ΔP &lt; 650 mm = incohérent : graphe Excel suspect)</t>
        </is>
      </c>
    </row>
    <row r="30">
      <c r="A30" s="33" t="inlineStr">
        <is>
          <t>FT-NETBAG-S</t>
        </is>
      </c>
      <c r="B30" s="34" t="inlineStr">
        <is>
          <t>Poches souples</t>
        </is>
      </c>
      <c r="C30" s="35" t="inlineStr">
        <is>
          <t>NETBAG S M5</t>
        </is>
      </c>
      <c r="D30" s="36" t="inlineStr">
        <is>
          <t>M5</t>
        </is>
      </c>
      <c r="E30" s="36" t="inlineStr">
        <is>
          <t>ePM10 50%</t>
        </is>
      </c>
      <c r="F30" s="36" t="n"/>
      <c r="G30" s="34" t="inlineStr">
        <is>
          <t>592×592×650</t>
        </is>
      </c>
      <c r="H30" s="37" t="n">
        <v>18</v>
      </c>
      <c r="I30" s="37" t="n">
        <v>25</v>
      </c>
      <c r="J30" s="37" t="n">
        <v>34</v>
      </c>
      <c r="K30" s="37" t="n">
        <v>44</v>
      </c>
      <c r="L30" s="37" t="n">
        <v>55</v>
      </c>
      <c r="M30" s="37" t="n">
        <v>67</v>
      </c>
      <c r="N30" s="37" t="n">
        <v>81</v>
      </c>
      <c r="O30" s="38">
        <f>IFERROR(IF(COUNT($H30:$N30)=7,INDEX(LINEST($H30:$N30,$H$6:$N$6^{1;2}),1,1),""),"")</f>
        <v/>
      </c>
      <c r="P30" s="38">
        <f>IFERROR(IF(COUNT($H30:$N30)=7,INDEX(LINEST($H30:$N30,$H$6:$N$6^{1;2}),1,2),""),"")</f>
        <v/>
      </c>
      <c r="Q30" s="38">
        <f>IFERROR(IF(COUNT($H30:$N30)=7,INDEX(LINEST($H30:$N30,$H$6:$N$6^{1;2}),1,3),""),"")</f>
        <v/>
      </c>
      <c r="R30" s="39">
        <f>IFERROR(IF(COUNT($H30:$N30)=7,INDEX(LINEST($H30:$N30,$H$6:$N$6^{1;2},TRUE(),TRUE()),3,1),""),"")</f>
        <v/>
      </c>
      <c r="S30" s="40">
        <f>IF(O30="","",TEXT(O30,"0.00")&amp;"·v² "&amp;IF(P30&gt;=0,"+ ","− ")&amp;TEXT(ABS(P30),"0.00")&amp;"·v "&amp;IF(Q30&gt;=0,"+ ","− ")&amp;TEXT(ABS(Q30),"0.00"))</f>
        <v/>
      </c>
      <c r="T30" s="41">
        <f>COUNT($H30:$N30)</f>
        <v/>
      </c>
      <c r="U30" s="41">
        <f>IFERROR(IF(O30="","",O30*($H$3/3600/$C$3)^2+P30*($H$3/3600/$C$3)+Q30),"")</f>
        <v/>
      </c>
      <c r="V30" s="36" t="inlineStr">
        <is>
          <t>Extrait courbe vectorielle PDF TITABAG 2018 (recalé sur axes ; méthode validée F9 p500). Fit auto LINEST.</t>
        </is>
      </c>
    </row>
    <row r="31">
      <c r="A31" s="33" t="inlineStr">
        <is>
          <t>FT-NETBAG-S</t>
        </is>
      </c>
      <c r="B31" s="34" t="inlineStr">
        <is>
          <t>Poches souples</t>
        </is>
      </c>
      <c r="C31" s="35" t="inlineStr">
        <is>
          <t>NETBAG S M6</t>
        </is>
      </c>
      <c r="D31" s="36" t="inlineStr">
        <is>
          <t>M6</t>
        </is>
      </c>
      <c r="E31" s="36" t="inlineStr">
        <is>
          <t>ePM2,5 50%</t>
        </is>
      </c>
      <c r="F31" s="36" t="n"/>
      <c r="G31" s="34" t="inlineStr">
        <is>
          <t>592×592×380</t>
        </is>
      </c>
      <c r="H31" s="37" t="n">
        <v>21</v>
      </c>
      <c r="I31" s="37" t="n">
        <v>43</v>
      </c>
      <c r="J31" s="37" t="n">
        <v>70</v>
      </c>
      <c r="K31" s="37" t="n">
        <v>99</v>
      </c>
      <c r="L31" s="37" t="n">
        <v>128</v>
      </c>
      <c r="M31" s="37" t="n">
        <v>163</v>
      </c>
      <c r="N31" s="37" t="n">
        <v>200</v>
      </c>
      <c r="O31" s="38">
        <f>IFERROR(IF(COUNT($H31:$N31)=7,INDEX(LINEST($H31:$N31,$H$6:$N$6^{1;2}),1,1),""),"")</f>
        <v/>
      </c>
      <c r="P31" s="38">
        <f>IFERROR(IF(COUNT($H31:$N31)=7,INDEX(LINEST($H31:$N31,$H$6:$N$6^{1;2}),1,2),""),"")</f>
        <v/>
      </c>
      <c r="Q31" s="38">
        <f>IFERROR(IF(COUNT($H31:$N31)=7,INDEX(LINEST($H31:$N31,$H$6:$N$6^{1;2}),1,3),""),"")</f>
        <v/>
      </c>
      <c r="R31" s="39">
        <f>IFERROR(IF(COUNT($H31:$N31)=7,INDEX(LINEST($H31:$N31,$H$6:$N$6^{1;2},TRUE(),TRUE()),3,1),""),"")</f>
        <v/>
      </c>
      <c r="S31" s="40">
        <f>IF(O31="","",TEXT(O31,"0.00")&amp;"·v² "&amp;IF(P31&gt;=0,"+ ","− ")&amp;TEXT(ABS(P31),"0.00")&amp;"·v "&amp;IF(Q31&gt;=0,"+ ","− ")&amp;TEXT(ABS(Q31),"0.00"))</f>
        <v/>
      </c>
      <c r="T31" s="41">
        <f>COUNT($H31:$N31)</f>
        <v/>
      </c>
      <c r="U31" s="41">
        <f>IFERROR(IF(O31="","",O31*($H$3/3600/$C$3)^2+P31*($H$3/3600/$C$3)+Q31),"")</f>
        <v/>
      </c>
      <c r="V31" s="36" t="inlineStr">
        <is>
          <t>Extrait courbe vectorielle PDF TITABAG 2018 (recalé sur axes ; méthode validée F9 p500). Fit auto LINEST.</t>
        </is>
      </c>
    </row>
    <row r="32">
      <c r="A32" s="33" t="inlineStr">
        <is>
          <t>FT-NETBAG-S</t>
        </is>
      </c>
      <c r="B32" s="34" t="inlineStr">
        <is>
          <t>Poches souples</t>
        </is>
      </c>
      <c r="C32" s="35" t="inlineStr">
        <is>
          <t>NETBAG S F7</t>
        </is>
      </c>
      <c r="D32" s="36" t="inlineStr">
        <is>
          <t>F7</t>
        </is>
      </c>
      <c r="E32" s="36" t="inlineStr">
        <is>
          <t>ePM1 55%</t>
        </is>
      </c>
      <c r="F32" s="36" t="n"/>
      <c r="G32" s="34" t="inlineStr">
        <is>
          <t>592×592×380</t>
        </is>
      </c>
      <c r="H32" s="37" t="n">
        <v>31</v>
      </c>
      <c r="I32" s="37" t="n">
        <v>56</v>
      </c>
      <c r="J32" s="37" t="n">
        <v>83</v>
      </c>
      <c r="K32" s="37" t="n">
        <v>113</v>
      </c>
      <c r="L32" s="37" t="n">
        <v>146</v>
      </c>
      <c r="M32" s="37" t="n">
        <v>183</v>
      </c>
      <c r="N32" s="37" t="n">
        <v>221</v>
      </c>
      <c r="O32" s="38">
        <f>IFERROR(IF(COUNT($H32:$N32)=7,INDEX(LINEST($H32:$N32,$H$6:$N$6^{1;2}),1,1),""),"")</f>
        <v/>
      </c>
      <c r="P32" s="38">
        <f>IFERROR(IF(COUNT($H32:$N32)=7,INDEX(LINEST($H32:$N32,$H$6:$N$6^{1;2}),1,2),""),"")</f>
        <v/>
      </c>
      <c r="Q32" s="38">
        <f>IFERROR(IF(COUNT($H32:$N32)=7,INDEX(LINEST($H32:$N32,$H$6:$N$6^{1;2}),1,3),""),"")</f>
        <v/>
      </c>
      <c r="R32" s="39">
        <f>IFERROR(IF(COUNT($H32:$N32)=7,INDEX(LINEST($H32:$N32,$H$6:$N$6^{1;2},TRUE(),TRUE()),3,1),""),"")</f>
        <v/>
      </c>
      <c r="S32" s="40">
        <f>IF(O32="","",TEXT(O32,"0.00")&amp;"·v² "&amp;IF(P32&gt;=0,"+ ","− ")&amp;TEXT(ABS(P32),"0.00")&amp;"·v "&amp;IF(Q32&gt;=0,"+ ","− ")&amp;TEXT(ABS(Q32),"0.00"))</f>
        <v/>
      </c>
      <c r="T32" s="41">
        <f>COUNT($H32:$N32)</f>
        <v/>
      </c>
      <c r="U32" s="41">
        <f>IFERROR(IF(O32="","",O32*($H$3/3600/$C$3)^2+P32*($H$3/3600/$C$3)+Q32),"")</f>
        <v/>
      </c>
      <c r="V32" s="36" t="inlineStr">
        <is>
          <t>Extrait courbe vectorielle PDF TITABAG 2018 (recalé sur axes ; méthode validée F9 p500). Fit auto LINEST.</t>
        </is>
      </c>
    </row>
    <row r="33">
      <c r="A33" s="33" t="inlineStr">
        <is>
          <t>FT-NETBAG-S</t>
        </is>
      </c>
      <c r="B33" s="34" t="inlineStr">
        <is>
          <t>Poches souples</t>
        </is>
      </c>
      <c r="C33" s="35" t="inlineStr">
        <is>
          <t>NETBAG S F7</t>
        </is>
      </c>
      <c r="D33" s="36" t="inlineStr">
        <is>
          <t>F7</t>
        </is>
      </c>
      <c r="E33" s="36" t="inlineStr">
        <is>
          <t>ePM1 55%</t>
        </is>
      </c>
      <c r="F33" s="36" t="n"/>
      <c r="G33" s="34" t="inlineStr">
        <is>
          <t>592×592×550</t>
        </is>
      </c>
      <c r="H33" s="37" t="n">
        <v>25</v>
      </c>
      <c r="I33" s="37" t="n">
        <v>38</v>
      </c>
      <c r="J33" s="37" t="n">
        <v>54</v>
      </c>
      <c r="K33" s="37" t="n">
        <v>70</v>
      </c>
      <c r="L33" s="37" t="n">
        <v>89</v>
      </c>
      <c r="M33" s="37" t="n">
        <v>110</v>
      </c>
      <c r="N33" s="37" t="n">
        <v>132</v>
      </c>
      <c r="O33" s="38">
        <f>IFERROR(IF(COUNT($H33:$N33)=7,INDEX(LINEST($H33:$N33,$H$6:$N$6^{1;2}),1,1),""),"")</f>
        <v/>
      </c>
      <c r="P33" s="38">
        <f>IFERROR(IF(COUNT($H33:$N33)=7,INDEX(LINEST($H33:$N33,$H$6:$N$6^{1;2}),1,2),""),"")</f>
        <v/>
      </c>
      <c r="Q33" s="38">
        <f>IFERROR(IF(COUNT($H33:$N33)=7,INDEX(LINEST($H33:$N33,$H$6:$N$6^{1;2}),1,3),""),"")</f>
        <v/>
      </c>
      <c r="R33" s="39">
        <f>IFERROR(IF(COUNT($H33:$N33)=7,INDEX(LINEST($H33:$N33,$H$6:$N$6^{1;2},TRUE(),TRUE()),3,1),""),"")</f>
        <v/>
      </c>
      <c r="S33" s="40">
        <f>IF(O33="","",TEXT(O33,"0.00")&amp;"·v² "&amp;IF(P33&gt;=0,"+ ","− ")&amp;TEXT(ABS(P33),"0.00")&amp;"·v "&amp;IF(Q33&gt;=0,"+ ","− ")&amp;TEXT(ABS(Q33),"0.00"))</f>
        <v/>
      </c>
      <c r="T33" s="41">
        <f>COUNT($H33:$N33)</f>
        <v/>
      </c>
      <c r="U33" s="41">
        <f>IFERROR(IF(O33="","",O33*($H$3/3600/$C$3)^2+P33*($H$3/3600/$C$3)+Q33),"")</f>
        <v/>
      </c>
      <c r="V33" s="36" t="inlineStr">
        <is>
          <t>Extrait courbe vectorielle PDF TITABAG 2018 (recalé sur axes ; méthode validée F9 p500). Fit auto LINEST.</t>
        </is>
      </c>
    </row>
    <row r="34">
      <c r="A34" s="33" t="inlineStr">
        <is>
          <t>FT-NETBAG-S</t>
        </is>
      </c>
      <c r="B34" s="34" t="inlineStr">
        <is>
          <t>Poches souples</t>
        </is>
      </c>
      <c r="C34" s="35" t="inlineStr">
        <is>
          <t>NETBAG S F7</t>
        </is>
      </c>
      <c r="D34" s="36" t="inlineStr">
        <is>
          <t>F7</t>
        </is>
      </c>
      <c r="E34" s="36" t="inlineStr">
        <is>
          <t>ePM1 55%</t>
        </is>
      </c>
      <c r="F34" s="36" t="n"/>
      <c r="G34" s="34" t="inlineStr">
        <is>
          <t>592×592×650</t>
        </is>
      </c>
      <c r="H34" s="37" t="n">
        <v>25</v>
      </c>
      <c r="I34" s="37" t="n">
        <v>37</v>
      </c>
      <c r="J34" s="37" t="n">
        <v>50</v>
      </c>
      <c r="K34" s="37" t="n">
        <v>66</v>
      </c>
      <c r="L34" s="37" t="n">
        <v>85</v>
      </c>
      <c r="M34" s="37" t="n">
        <v>106</v>
      </c>
      <c r="N34" s="37" t="n">
        <v>129</v>
      </c>
      <c r="O34" s="38">
        <f>IFERROR(IF(COUNT($H34:$N34)=7,INDEX(LINEST($H34:$N34,$H$6:$N$6^{1;2}),1,1),""),"")</f>
        <v/>
      </c>
      <c r="P34" s="38">
        <f>IFERROR(IF(COUNT($H34:$N34)=7,INDEX(LINEST($H34:$N34,$H$6:$N$6^{1;2}),1,2),""),"")</f>
        <v/>
      </c>
      <c r="Q34" s="38">
        <f>IFERROR(IF(COUNT($H34:$N34)=7,INDEX(LINEST($H34:$N34,$H$6:$N$6^{1;2}),1,3),""),"")</f>
        <v/>
      </c>
      <c r="R34" s="39">
        <f>IFERROR(IF(COUNT($H34:$N34)=7,INDEX(LINEST($H34:$N34,$H$6:$N$6^{1;2},TRUE(),TRUE()),3,1),""),"")</f>
        <v/>
      </c>
      <c r="S34" s="40">
        <f>IF(O34="","",TEXT(O34,"0.00")&amp;"·v² "&amp;IF(P34&gt;=0,"+ ","− ")&amp;TEXT(ABS(P34),"0.00")&amp;"·v "&amp;IF(Q34&gt;=0,"+ ","− ")&amp;TEXT(ABS(Q34),"0.00"))</f>
        <v/>
      </c>
      <c r="T34" s="41">
        <f>COUNT($H34:$N34)</f>
        <v/>
      </c>
      <c r="U34" s="41">
        <f>IFERROR(IF(O34="","",O34*($H$3/3600/$C$3)^2+P34*($H$3/3600/$C$3)+Q34),"")</f>
        <v/>
      </c>
      <c r="V34" s="36" t="inlineStr">
        <is>
          <t>Extrait courbe vectorielle PDF TITABAG 2018 (recalé sur axes ; méthode validée F9 p500). Fit auto LINEST.</t>
        </is>
      </c>
    </row>
    <row r="35">
      <c r="A35" s="33" t="inlineStr">
        <is>
          <t>FT-NETBAG-S</t>
        </is>
      </c>
      <c r="B35" s="34" t="inlineStr">
        <is>
          <t>Poches souples</t>
        </is>
      </c>
      <c r="C35" s="35" t="inlineStr">
        <is>
          <t>NETBAG S F8</t>
        </is>
      </c>
      <c r="D35" s="36" t="inlineStr">
        <is>
          <t>F8</t>
        </is>
      </c>
      <c r="E35" s="36" t="inlineStr">
        <is>
          <t>ePM1 70%</t>
        </is>
      </c>
      <c r="F35" s="36" t="n"/>
      <c r="G35" s="34" t="inlineStr">
        <is>
          <t>592×592×380</t>
        </is>
      </c>
      <c r="H35" s="37" t="n">
        <v>40</v>
      </c>
      <c r="I35" s="37" t="n">
        <v>69</v>
      </c>
      <c r="J35" s="37" t="n">
        <v>99</v>
      </c>
      <c r="K35" s="37" t="n">
        <v>131</v>
      </c>
      <c r="L35" s="37" t="n">
        <v>164</v>
      </c>
      <c r="M35" s="37" t="n">
        <v>200</v>
      </c>
      <c r="N35" s="37" t="n">
        <v>235</v>
      </c>
      <c r="O35" s="38">
        <f>IFERROR(IF(COUNT($H35:$N35)=7,INDEX(LINEST($H35:$N35,$H$6:$N$6^{1;2}),1,1),""),"")</f>
        <v/>
      </c>
      <c r="P35" s="38">
        <f>IFERROR(IF(COUNT($H35:$N35)=7,INDEX(LINEST($H35:$N35,$H$6:$N$6^{1;2}),1,2),""),"")</f>
        <v/>
      </c>
      <c r="Q35" s="38">
        <f>IFERROR(IF(COUNT($H35:$N35)=7,INDEX(LINEST($H35:$N35,$H$6:$N$6^{1;2}),1,3),""),"")</f>
        <v/>
      </c>
      <c r="R35" s="39">
        <f>IFERROR(IF(COUNT($H35:$N35)=7,INDEX(LINEST($H35:$N35,$H$6:$N$6^{1;2},TRUE(),TRUE()),3,1),""),"")</f>
        <v/>
      </c>
      <c r="S35" s="40">
        <f>IF(O35="","",TEXT(O35,"0.00")&amp;"·v² "&amp;IF(P35&gt;=0,"+ ","− ")&amp;TEXT(ABS(P35),"0.00")&amp;"·v "&amp;IF(Q35&gt;=0,"+ ","− ")&amp;TEXT(ABS(Q35),"0.00"))</f>
        <v/>
      </c>
      <c r="T35" s="41">
        <f>COUNT($H35:$N35)</f>
        <v/>
      </c>
      <c r="U35" s="41">
        <f>IFERROR(IF(O35="","",O35*($H$3/3600/$C$3)^2+P35*($H$3/3600/$C$3)+Q35),"")</f>
        <v/>
      </c>
      <c r="V35" s="36" t="inlineStr">
        <is>
          <t>Extrait courbe vectorielle PDF TITABAG 2018 (recalé sur axes ; méthode validée F9 p500). Fit auto LINEST.</t>
        </is>
      </c>
    </row>
    <row r="36">
      <c r="A36" s="33" t="inlineStr">
        <is>
          <t>FT-NETBAG-S</t>
        </is>
      </c>
      <c r="B36" s="34" t="inlineStr">
        <is>
          <t>Poches souples</t>
        </is>
      </c>
      <c r="C36" s="35" t="inlineStr">
        <is>
          <t>NETBAG S F8</t>
        </is>
      </c>
      <c r="D36" s="36" t="inlineStr">
        <is>
          <t>F8</t>
        </is>
      </c>
      <c r="E36" s="36" t="inlineStr">
        <is>
          <t>ePM1 70%</t>
        </is>
      </c>
      <c r="F36" s="36" t="n"/>
      <c r="G36" s="34" t="inlineStr">
        <is>
          <t>592×592×500</t>
        </is>
      </c>
      <c r="H36" s="37" t="n">
        <v>32</v>
      </c>
      <c r="I36" s="37" t="n">
        <v>48</v>
      </c>
      <c r="J36" s="37" t="n">
        <v>67</v>
      </c>
      <c r="K36" s="37" t="n">
        <v>87</v>
      </c>
      <c r="L36" s="37" t="n">
        <v>109</v>
      </c>
      <c r="M36" s="37" t="n">
        <v>133</v>
      </c>
      <c r="N36" s="37" t="n">
        <v>159</v>
      </c>
      <c r="O36" s="38">
        <f>IFERROR(IF(COUNT($H36:$N36)=7,INDEX(LINEST($H36:$N36,$H$6:$N$6^{1;2}),1,1),""),"")</f>
        <v/>
      </c>
      <c r="P36" s="38">
        <f>IFERROR(IF(COUNT($H36:$N36)=7,INDEX(LINEST($H36:$N36,$H$6:$N$6^{1;2}),1,2),""),"")</f>
        <v/>
      </c>
      <c r="Q36" s="38">
        <f>IFERROR(IF(COUNT($H36:$N36)=7,INDEX(LINEST($H36:$N36,$H$6:$N$6^{1;2}),1,3),""),"")</f>
        <v/>
      </c>
      <c r="R36" s="39">
        <f>IFERROR(IF(COUNT($H36:$N36)=7,INDEX(LINEST($H36:$N36,$H$6:$N$6^{1;2},TRUE(),TRUE()),3,1),""),"")</f>
        <v/>
      </c>
      <c r="S36" s="40">
        <f>IF(O36="","",TEXT(O36,"0.00")&amp;"·v² "&amp;IF(P36&gt;=0,"+ ","− ")&amp;TEXT(ABS(P36),"0.00")&amp;"·v "&amp;IF(Q36&gt;=0,"+ ","− ")&amp;TEXT(ABS(Q36),"0.00"))</f>
        <v/>
      </c>
      <c r="T36" s="41">
        <f>COUNT($H36:$N36)</f>
        <v/>
      </c>
      <c r="U36" s="41">
        <f>IFERROR(IF(O36="","",O36*($H$3/3600/$C$3)^2+P36*($H$3/3600/$C$3)+Q36),"")</f>
        <v/>
      </c>
      <c r="V36" s="36" t="inlineStr">
        <is>
          <t>Extrait courbe vectorielle PDF TITABAG 2018 (recalé sur axes ; méthode validée F9 p500). Fit auto LINEST.</t>
        </is>
      </c>
    </row>
    <row r="37">
      <c r="A37" s="33" t="inlineStr">
        <is>
          <t>FT-NETBAG-S</t>
        </is>
      </c>
      <c r="B37" s="34" t="inlineStr">
        <is>
          <t>Poches souples</t>
        </is>
      </c>
      <c r="C37" s="35" t="inlineStr">
        <is>
          <t>NETBAG S F9</t>
        </is>
      </c>
      <c r="D37" s="36" t="inlineStr">
        <is>
          <t>F9</t>
        </is>
      </c>
      <c r="E37" s="36" t="inlineStr">
        <is>
          <t>ePM1 80%</t>
        </is>
      </c>
      <c r="F37" s="36" t="n"/>
      <c r="G37" s="34" t="inlineStr">
        <is>
          <t>592×592×500</t>
        </is>
      </c>
      <c r="H37" s="37" t="n">
        <v>38</v>
      </c>
      <c r="I37" s="37" t="n">
        <v>58</v>
      </c>
      <c r="J37" s="37" t="n">
        <v>81</v>
      </c>
      <c r="K37" s="37" t="n">
        <v>105</v>
      </c>
      <c r="L37" s="37" t="n">
        <v>134</v>
      </c>
      <c r="M37" s="37" t="n">
        <v>166</v>
      </c>
      <c r="N37" s="37" t="n">
        <v>199</v>
      </c>
      <c r="O37" s="38">
        <f>IFERROR(IF(COUNT($H37:$N37)=7,INDEX(LINEST($H37:$N37,$H$6:$N$6^{1;2}),1,1),""),"")</f>
        <v/>
      </c>
      <c r="P37" s="38">
        <f>IFERROR(IF(COUNT($H37:$N37)=7,INDEX(LINEST($H37:$N37,$H$6:$N$6^{1;2}),1,2),""),"")</f>
        <v/>
      </c>
      <c r="Q37" s="38">
        <f>IFERROR(IF(COUNT($H37:$N37)=7,INDEX(LINEST($H37:$N37,$H$6:$N$6^{1;2}),1,3),""),"")</f>
        <v/>
      </c>
      <c r="R37" s="39">
        <f>IFERROR(IF(COUNT($H37:$N37)=7,INDEX(LINEST($H37:$N37,$H$6:$N$6^{1;2},TRUE(),TRUE()),3,1),""),"")</f>
        <v/>
      </c>
      <c r="S37" s="40">
        <f>IF(O37="","",TEXT(O37,"0.00")&amp;"·v² "&amp;IF(P37&gt;=0,"+ ","− ")&amp;TEXT(ABS(P37),"0.00")&amp;"·v "&amp;IF(Q37&gt;=0,"+ ","− ")&amp;TEXT(ABS(Q37),"0.00"))</f>
        <v/>
      </c>
      <c r="T37" s="41">
        <f>COUNT($H37:$N37)</f>
        <v/>
      </c>
      <c r="U37" s="41">
        <f>IFERROR(IF(O37="","",O37*($H$3/3600/$C$3)^2+P37*($H$3/3600/$C$3)+Q37),"")</f>
        <v/>
      </c>
      <c r="V37" s="36" t="inlineStr">
        <is>
          <t>Extrait courbe vectorielle PDF TITABAG 2018 (recalé sur axes ; méthode validée F9 p500). Fit auto LINEST.</t>
        </is>
      </c>
    </row>
    <row r="38">
      <c r="A38" s="21" t="inlineStr">
        <is>
          <t>FT-NETPAK-S-CILIA</t>
        </is>
      </c>
      <c r="B38" s="21" t="inlineStr">
        <is>
          <t>Filtres compacts</t>
        </is>
      </c>
      <c r="C38" s="21" t="inlineStr">
        <is>
          <t>NETPAK S CILIA M5</t>
        </is>
      </c>
      <c r="D38" s="21" t="inlineStr">
        <is>
          <t>M5</t>
        </is>
      </c>
      <c r="E38" s="21" t="inlineStr">
        <is>
          <t>ePM10 50%</t>
        </is>
      </c>
      <c r="F38" s="21" t="n">
        <v>48</v>
      </c>
      <c r="G38" s="21" t="inlineStr">
        <is>
          <t>592×592×48</t>
        </is>
      </c>
      <c r="H38" s="21" t="n">
        <v>14</v>
      </c>
      <c r="I38" s="21" t="n">
        <v>24</v>
      </c>
      <c r="J38" s="21" t="n">
        <v>35</v>
      </c>
      <c r="K38" s="21" t="n">
        <v>48</v>
      </c>
      <c r="L38" s="21" t="n">
        <v>64</v>
      </c>
      <c r="M38" s="21" t="n">
        <v>81</v>
      </c>
      <c r="N38" s="21" t="n">
        <v>100</v>
      </c>
      <c r="O38" s="21" t="n">
        <v>6.206</v>
      </c>
      <c r="P38" s="21" t="n">
        <v>11.495</v>
      </c>
      <c r="Q38" s="21" t="n">
        <v>1.183</v>
      </c>
      <c r="R38" s="21" t="n">
        <v>0.9999</v>
      </c>
      <c r="S38" s="21" t="inlineStr">
        <is>
          <t>6.206·v²+11.495·v+1.183</t>
        </is>
      </c>
      <c r="T38" s="21" t="n">
        <v>7</v>
      </c>
      <c r="U38" s="21" t="n">
        <v>77</v>
      </c>
      <c r="V38" s="21" t="inlineStr">
        <is>
          <t>PRISME A HPE 2018</t>
        </is>
      </c>
    </row>
    <row r="39">
      <c r="A39" s="21" t="inlineStr">
        <is>
          <t>FT-NETPAK-S-CILIA</t>
        </is>
      </c>
      <c r="B39" s="21" t="inlineStr">
        <is>
          <t>Filtres compacts</t>
        </is>
      </c>
      <c r="C39" s="21" t="inlineStr">
        <is>
          <t>NETPAK S CILIA M5</t>
        </is>
      </c>
      <c r="D39" s="21" t="inlineStr">
        <is>
          <t>M5</t>
        </is>
      </c>
      <c r="E39" s="21" t="inlineStr">
        <is>
          <t>ePM10 50%</t>
        </is>
      </c>
      <c r="F39" s="21" t="n">
        <v>98</v>
      </c>
      <c r="G39" s="21" t="inlineStr">
        <is>
          <t>592×592×98</t>
        </is>
      </c>
      <c r="H39" s="21" t="n">
        <v>11</v>
      </c>
      <c r="I39" s="21" t="n">
        <v>20</v>
      </c>
      <c r="J39" s="21" t="n">
        <v>31</v>
      </c>
      <c r="K39" s="21" t="n">
        <v>44</v>
      </c>
      <c r="L39" s="21" t="n">
        <v>59</v>
      </c>
      <c r="M39" s="21" t="n">
        <v>76</v>
      </c>
      <c r="N39" s="21" t="n">
        <v>95</v>
      </c>
      <c r="O39" s="21" t="n">
        <v>6.431</v>
      </c>
      <c r="P39" s="21" t="n">
        <v>9.792999999999999</v>
      </c>
      <c r="Q39" s="21" t="n">
        <v>-0.754</v>
      </c>
      <c r="R39" s="21" t="n">
        <v>1</v>
      </c>
      <c r="S39" s="21" t="inlineStr">
        <is>
          <t>6.431·v²+9.793·v+-0.754</t>
        </is>
      </c>
      <c r="T39" s="21" t="n">
        <v>7</v>
      </c>
      <c r="U39" s="21" t="n">
        <v>72</v>
      </c>
      <c r="V39" s="21" t="inlineStr">
        <is>
          <t>PRISME A HPE 2018</t>
        </is>
      </c>
    </row>
    <row r="40">
      <c r="A40" s="21" t="inlineStr">
        <is>
          <t>FT-NETPAK-S-CILIA</t>
        </is>
      </c>
      <c r="B40" s="21" t="inlineStr">
        <is>
          <t>Filtres compacts</t>
        </is>
      </c>
      <c r="C40" s="21" t="inlineStr">
        <is>
          <t>NETPAK S CILIA M6</t>
        </is>
      </c>
      <c r="D40" s="21" t="inlineStr">
        <is>
          <t>M6</t>
        </is>
      </c>
      <c r="E40" s="21" t="inlineStr">
        <is>
          <t>ePM2,5 50%</t>
        </is>
      </c>
      <c r="F40" s="21" t="n">
        <v>48</v>
      </c>
      <c r="G40" s="21" t="inlineStr">
        <is>
          <t>592×592×48</t>
        </is>
      </c>
      <c r="H40" s="21" t="n">
        <v>19</v>
      </c>
      <c r="I40" s="21" t="n">
        <v>32</v>
      </c>
      <c r="J40" s="21" t="n">
        <v>47</v>
      </c>
      <c r="K40" s="21" t="n">
        <v>63</v>
      </c>
      <c r="L40" s="21" t="n">
        <v>81</v>
      </c>
      <c r="M40" s="21" t="n">
        <v>100</v>
      </c>
      <c r="N40" s="21" t="n">
        <v>120</v>
      </c>
      <c r="O40" s="21" t="n">
        <v>4.414</v>
      </c>
      <c r="P40" s="21" t="n">
        <v>24.876</v>
      </c>
      <c r="Q40" s="21" t="n">
        <v>-3.46</v>
      </c>
      <c r="R40" s="21" t="n">
        <v>1</v>
      </c>
      <c r="S40" s="21" t="inlineStr">
        <is>
          <t>4.414·v²+24.876·v+-3.46</t>
        </is>
      </c>
      <c r="T40" s="21" t="n">
        <v>7</v>
      </c>
      <c r="U40" s="21" t="n">
        <v>96</v>
      </c>
      <c r="V40" s="21" t="inlineStr">
        <is>
          <t>PRISME A HPE 2018</t>
        </is>
      </c>
    </row>
    <row r="41">
      <c r="A41" s="21" t="inlineStr">
        <is>
          <t>FT-NETPAK-S-CILIA</t>
        </is>
      </c>
      <c r="B41" s="21" t="inlineStr">
        <is>
          <t>Filtres compacts</t>
        </is>
      </c>
      <c r="C41" s="21" t="inlineStr">
        <is>
          <t>NETPAK S CILIA M6</t>
        </is>
      </c>
      <c r="D41" s="21" t="inlineStr">
        <is>
          <t>M6</t>
        </is>
      </c>
      <c r="E41" s="21" t="inlineStr">
        <is>
          <t>ePM2,5 50%</t>
        </is>
      </c>
      <c r="F41" s="21" t="n">
        <v>98</v>
      </c>
      <c r="G41" s="21" t="inlineStr">
        <is>
          <t>592×592×98</t>
        </is>
      </c>
      <c r="H41" s="21" t="n">
        <v>15</v>
      </c>
      <c r="I41" s="21" t="n">
        <v>24</v>
      </c>
      <c r="J41" s="21" t="n">
        <v>36</v>
      </c>
      <c r="K41" s="21" t="n">
        <v>49</v>
      </c>
      <c r="L41" s="21" t="n">
        <v>64</v>
      </c>
      <c r="M41" s="21" t="n">
        <v>81</v>
      </c>
      <c r="N41" s="21" t="n">
        <v>99</v>
      </c>
      <c r="O41" s="21" t="n">
        <v>5.8</v>
      </c>
      <c r="P41" s="21" t="n">
        <v>12.3</v>
      </c>
      <c r="Q41" s="21" t="n">
        <v>1.642</v>
      </c>
      <c r="R41" s="21" t="n">
        <v>1</v>
      </c>
      <c r="S41" s="21" t="inlineStr">
        <is>
          <t>5.8·v²+12.3·v+1.642</t>
        </is>
      </c>
      <c r="T41" s="21" t="n">
        <v>7</v>
      </c>
      <c r="U41" s="21" t="n">
        <v>77</v>
      </c>
      <c r="V41" s="21" t="inlineStr">
        <is>
          <t>PRISME A HPE 2018</t>
        </is>
      </c>
    </row>
    <row r="42">
      <c r="A42" s="21" t="inlineStr">
        <is>
          <t>FT-NETPAK-S-CILIA</t>
        </is>
      </c>
      <c r="B42" s="21" t="inlineStr">
        <is>
          <t>Filtres compacts</t>
        </is>
      </c>
      <c r="C42" s="21" t="inlineStr">
        <is>
          <t>NETPAK S CILIA F7</t>
        </is>
      </c>
      <c r="D42" s="21" t="inlineStr">
        <is>
          <t>F7</t>
        </is>
      </c>
      <c r="E42" s="21" t="inlineStr">
        <is>
          <t>ePM1 50%</t>
        </is>
      </c>
      <c r="F42" s="21" t="n">
        <v>48</v>
      </c>
      <c r="G42" s="21" t="inlineStr">
        <is>
          <t>592×592×48</t>
        </is>
      </c>
      <c r="H42" s="21" t="n">
        <v>12</v>
      </c>
      <c r="I42" s="21" t="n">
        <v>20</v>
      </c>
      <c r="J42" s="21" t="n">
        <v>30</v>
      </c>
      <c r="K42" s="21" t="n">
        <v>40</v>
      </c>
      <c r="L42" s="21" t="n">
        <v>51</v>
      </c>
      <c r="M42" s="21" t="n">
        <v>63</v>
      </c>
      <c r="N42" s="21" t="n">
        <v>76</v>
      </c>
      <c r="O42" s="21" t="n">
        <v>2.858</v>
      </c>
      <c r="P42" s="21" t="n">
        <v>15.584</v>
      </c>
      <c r="Q42" s="21" t="n">
        <v>-2.224</v>
      </c>
      <c r="R42" s="21" t="n">
        <v>0.9999</v>
      </c>
      <c r="S42" s="21" t="inlineStr">
        <is>
          <t>2.858·v²+15.584·v+-2.224</t>
        </is>
      </c>
      <c r="T42" s="21" t="n">
        <v>7</v>
      </c>
      <c r="U42" s="21" t="n">
        <v>61</v>
      </c>
      <c r="V42" s="21" t="inlineStr">
        <is>
          <t>GR PRISME A — GREENTEX (basse résistance)</t>
        </is>
      </c>
    </row>
    <row r="43">
      <c r="A43" s="21" t="inlineStr">
        <is>
          <t>FT-NETPAK-S-CILIA</t>
        </is>
      </c>
      <c r="B43" s="21" t="inlineStr">
        <is>
          <t>Filtres compacts</t>
        </is>
      </c>
      <c r="C43" s="21" t="inlineStr">
        <is>
          <t>NETPAK S CILIA F7</t>
        </is>
      </c>
      <c r="D43" s="21" t="inlineStr">
        <is>
          <t>F7</t>
        </is>
      </c>
      <c r="E43" s="21" t="inlineStr">
        <is>
          <t>ePM1 50%</t>
        </is>
      </c>
      <c r="F43" s="21" t="n">
        <v>98</v>
      </c>
      <c r="G43" s="21" t="inlineStr">
        <is>
          <t>592×592×98</t>
        </is>
      </c>
      <c r="H43" s="21" t="n">
        <v>10</v>
      </c>
      <c r="I43" s="21" t="n">
        <v>19</v>
      </c>
      <c r="J43" s="21" t="n">
        <v>29</v>
      </c>
      <c r="K43" s="21" t="n">
        <v>40</v>
      </c>
      <c r="L43" s="21" t="n">
        <v>52</v>
      </c>
      <c r="M43" s="21" t="n">
        <v>67</v>
      </c>
      <c r="N43" s="21" t="n">
        <v>86</v>
      </c>
      <c r="O43" s="21" t="n">
        <v>5.883</v>
      </c>
      <c r="P43" s="21" t="n">
        <v>7.916</v>
      </c>
      <c r="Q43" s="21" t="n">
        <v>0.756</v>
      </c>
      <c r="R43" s="21" t="n">
        <v>0.9989</v>
      </c>
      <c r="S43" s="21" t="inlineStr">
        <is>
          <t>5.883·v²+7.916·v+0.756</t>
        </is>
      </c>
      <c r="T43" s="21" t="n">
        <v>7</v>
      </c>
      <c r="U43" s="21" t="n">
        <v>65</v>
      </c>
      <c r="V43" s="21" t="inlineStr">
        <is>
          <t>GR PRISME A — GREENTEX ; léger croisement ep48/ep98 haute vitesse</t>
        </is>
      </c>
    </row>
    <row r="44">
      <c r="A44" s="21" t="inlineStr">
        <is>
          <t>FT-NETPAK-S-CILIA</t>
        </is>
      </c>
      <c r="B44" s="21" t="inlineStr">
        <is>
          <t>Filtres compacts</t>
        </is>
      </c>
      <c r="C44" s="21" t="inlineStr">
        <is>
          <t>NETPAK S CILIA F8</t>
        </is>
      </c>
      <c r="D44" s="21" t="inlineStr">
        <is>
          <t>F8</t>
        </is>
      </c>
      <c r="E44" s="21" t="inlineStr">
        <is>
          <t>ePM1 70%</t>
        </is>
      </c>
      <c r="F44" s="21" t="n">
        <v>48</v>
      </c>
      <c r="G44" s="21" t="inlineStr">
        <is>
          <t>592×592×48</t>
        </is>
      </c>
      <c r="H44" s="21" t="n">
        <v>23</v>
      </c>
      <c r="I44" s="21" t="n">
        <v>43</v>
      </c>
      <c r="J44" s="21" t="n">
        <v>66</v>
      </c>
      <c r="K44" s="21" t="n">
        <v>88</v>
      </c>
      <c r="L44" s="21" t="n">
        <v>115</v>
      </c>
      <c r="M44" s="21" t="n">
        <v>143</v>
      </c>
      <c r="N44" s="21" t="n">
        <v>173</v>
      </c>
      <c r="O44" s="21" t="n">
        <v>6.567</v>
      </c>
      <c r="P44" s="21" t="n">
        <v>36.887</v>
      </c>
      <c r="Q44" s="21" t="n">
        <v>-10.099</v>
      </c>
      <c r="R44" s="21" t="n">
        <v>0.9999</v>
      </c>
      <c r="S44" s="21" t="inlineStr">
        <is>
          <t>6.567·v²+36.887·v+-10.099</t>
        </is>
      </c>
      <c r="T44" s="21" t="n">
        <v>7</v>
      </c>
      <c r="U44" s="21" t="n">
        <v>137</v>
      </c>
      <c r="V44" s="21" t="inlineStr">
        <is>
          <t>PRISME A HPE 2018</t>
        </is>
      </c>
    </row>
    <row r="45">
      <c r="A45" s="21" t="inlineStr">
        <is>
          <t>FT-NETPAK-S-CILIA</t>
        </is>
      </c>
      <c r="B45" s="21" t="inlineStr">
        <is>
          <t>Filtres compacts</t>
        </is>
      </c>
      <c r="C45" s="21" t="inlineStr">
        <is>
          <t>NETPAK S CILIA F8</t>
        </is>
      </c>
      <c r="D45" s="21" t="inlineStr">
        <is>
          <t>F8</t>
        </is>
      </c>
      <c r="E45" s="21" t="inlineStr">
        <is>
          <t>ePM1 70%</t>
        </is>
      </c>
      <c r="F45" s="21" t="n">
        <v>98</v>
      </c>
      <c r="G45" s="21" t="inlineStr">
        <is>
          <t>592×592×98</t>
        </is>
      </c>
      <c r="H45" s="21" t="n">
        <v>22</v>
      </c>
      <c r="I45" s="21" t="n">
        <v>35</v>
      </c>
      <c r="J45" s="21" t="n">
        <v>51</v>
      </c>
      <c r="K45" s="21" t="n">
        <v>68</v>
      </c>
      <c r="L45" s="21" t="n">
        <v>89</v>
      </c>
      <c r="M45" s="21" t="n">
        <v>113</v>
      </c>
      <c r="N45" s="21" t="n">
        <v>137</v>
      </c>
      <c r="O45" s="21" t="n">
        <v>7.595</v>
      </c>
      <c r="P45" s="21" t="n">
        <v>18.438</v>
      </c>
      <c r="Q45" s="21" t="n">
        <v>2.391</v>
      </c>
      <c r="R45" s="21" t="n">
        <v>0.9999</v>
      </c>
      <c r="S45" s="21" t="inlineStr">
        <is>
          <t>7.595·v²+18.438·v+2.391</t>
        </is>
      </c>
      <c r="T45" s="21" t="n">
        <v>7</v>
      </c>
      <c r="U45" s="21" t="n">
        <v>107</v>
      </c>
      <c r="V45" s="21" t="inlineStr">
        <is>
          <t>PRISME A HPE 2018 — 7e pt (4000) extrapolé</t>
        </is>
      </c>
    </row>
    <row r="46">
      <c r="A46" s="21" t="inlineStr">
        <is>
          <t>FT-NETPAK-S-CILIA</t>
        </is>
      </c>
      <c r="B46" s="21" t="inlineStr">
        <is>
          <t>Filtres compacts</t>
        </is>
      </c>
      <c r="C46" s="21" t="inlineStr">
        <is>
          <t>NETPAK S CILIA F9</t>
        </is>
      </c>
      <c r="D46" s="21" t="inlineStr">
        <is>
          <t>F9</t>
        </is>
      </c>
      <c r="E46" s="21" t="inlineStr">
        <is>
          <t>ePM1 80%</t>
        </is>
      </c>
      <c r="F46" s="21" t="n">
        <v>48</v>
      </c>
      <c r="G46" s="21" t="inlineStr">
        <is>
          <t>592×592×48</t>
        </is>
      </c>
      <c r="H46" s="21" t="n">
        <v>33</v>
      </c>
      <c r="I46" s="21" t="n">
        <v>53</v>
      </c>
      <c r="J46" s="21" t="n">
        <v>76</v>
      </c>
      <c r="K46" s="21" t="n">
        <v>98</v>
      </c>
      <c r="L46" s="21" t="n">
        <v>125</v>
      </c>
      <c r="M46" s="21" t="n">
        <v>153</v>
      </c>
      <c r="N46" s="21" t="n">
        <v>183</v>
      </c>
      <c r="O46" s="21" t="n">
        <v>6.567</v>
      </c>
      <c r="P46" s="21" t="n">
        <v>36.887</v>
      </c>
      <c r="Q46" s="21" t="n">
        <v>-0.099</v>
      </c>
      <c r="R46" s="21" t="n">
        <v>0.9999</v>
      </c>
      <c r="S46" s="21" t="inlineStr">
        <is>
          <t>6.567·v²+36.887·v+-0.099</t>
        </is>
      </c>
      <c r="T46" s="21" t="n">
        <v>7</v>
      </c>
      <c r="U46" s="21" t="n">
        <v>147</v>
      </c>
      <c r="V46" s="21" t="inlineStr">
        <is>
          <t>PRISME A HPE 2018 — = F8 ep48 +10 Pa (offset suspect, à valider)</t>
        </is>
      </c>
    </row>
    <row r="47">
      <c r="A47" s="21" t="inlineStr">
        <is>
          <t>FT-NETPAK-S-CILIA</t>
        </is>
      </c>
      <c r="B47" s="21" t="inlineStr">
        <is>
          <t>Filtres compacts</t>
        </is>
      </c>
      <c r="C47" s="21" t="inlineStr">
        <is>
          <t>NETPAK S CILIA F9</t>
        </is>
      </c>
      <c r="D47" s="21" t="inlineStr">
        <is>
          <t>F9</t>
        </is>
      </c>
      <c r="E47" s="21" t="inlineStr">
        <is>
          <t>ePM1 80%</t>
        </is>
      </c>
      <c r="F47" s="21" t="n">
        <v>98</v>
      </c>
      <c r="G47" s="21" t="inlineStr">
        <is>
          <t>592×592×98</t>
        </is>
      </c>
      <c r="H47" s="21" t="n">
        <v>24</v>
      </c>
      <c r="I47" s="21" t="n">
        <v>39</v>
      </c>
      <c r="J47" s="21" t="n">
        <v>57</v>
      </c>
      <c r="K47" s="21" t="n">
        <v>76</v>
      </c>
      <c r="L47" s="21" t="n">
        <v>99</v>
      </c>
      <c r="M47" s="21" t="n">
        <v>125</v>
      </c>
      <c r="N47" s="21" t="n">
        <v>152</v>
      </c>
      <c r="O47" s="21" t="n">
        <v>8.289</v>
      </c>
      <c r="P47" s="21" t="n">
        <v>20.972</v>
      </c>
      <c r="Q47" s="21" t="n">
        <v>2.319</v>
      </c>
      <c r="R47" s="21" t="n">
        <v>1</v>
      </c>
      <c r="S47" s="21" t="inlineStr">
        <is>
          <t>8.289·v²+20.972·v+2.319</t>
        </is>
      </c>
      <c r="T47" s="21" t="n">
        <v>7</v>
      </c>
      <c r="U47" s="21" t="n">
        <v>119</v>
      </c>
      <c r="V47" s="21" t="inlineStr">
        <is>
          <t>PRISME A HPE 2018</t>
        </is>
      </c>
    </row>
    <row r="48">
      <c r="A48" s="33" t="inlineStr">
        <is>
          <t>FT-NETPAK-S-AZUR</t>
        </is>
      </c>
      <c r="B48" s="34" t="inlineStr">
        <is>
          <t>Compacts / poches rigides</t>
        </is>
      </c>
      <c r="C48" s="35" t="inlineStr">
        <is>
          <t>NETPAK S AZUR F7</t>
        </is>
      </c>
      <c r="D48" s="36" t="inlineStr">
        <is>
          <t>F7</t>
        </is>
      </c>
      <c r="E48" s="36" t="inlineStr">
        <is>
          <t>ePM1 55%</t>
        </is>
      </c>
      <c r="F48" s="36" t="n"/>
      <c r="G48" s="34" t="inlineStr">
        <is>
          <t>592×592×292</t>
        </is>
      </c>
      <c r="H48" s="37" t="n">
        <v>11</v>
      </c>
      <c r="I48" s="37" t="n">
        <v>17</v>
      </c>
      <c r="J48" s="37" t="n">
        <v>26</v>
      </c>
      <c r="K48" s="37" t="n">
        <v>37</v>
      </c>
      <c r="L48" s="37" t="n">
        <v>51</v>
      </c>
      <c r="M48" s="37" t="n">
        <v>67</v>
      </c>
      <c r="N48" s="37" t="n">
        <v>85</v>
      </c>
      <c r="O48" s="38">
        <f>IFERROR(IF(COUNT($H48:$N48)=7,INDEX(LINEST($H48:$N48,$H$6:$N$6^{1;2}),1,1),""),"")</f>
        <v/>
      </c>
      <c r="P48" s="38">
        <f>IFERROR(IF(COUNT($H48:$N48)=7,INDEX(LINEST($H48:$N48,$H$6:$N$6^{1;2}),1,2),""),"")</f>
        <v/>
      </c>
      <c r="Q48" s="38">
        <f>IFERROR(IF(COUNT($H48:$N48)=7,INDEX(LINEST($H48:$N48,$H$6:$N$6^{1;2}),1,3),""),"")</f>
        <v/>
      </c>
      <c r="R48" s="39">
        <f>IFERROR(IF(COUNT($H48:$N48)=7,INDEX(LINEST($H48:$N48,$H$6:$N$6^{1;2},TRUE(),TRUE()),3,1),""),"")</f>
        <v/>
      </c>
      <c r="S48" s="40">
        <f>IF(O48="","",TEXT(O48,"0.00")&amp;"·v² "&amp;IF(P48&gt;=0,"+ ","− ")&amp;TEXT(ABS(P48),"0.00")&amp;"·v "&amp;IF(Q48&gt;=0,"+ ","− ")&amp;TEXT(ABS(Q48),"0.00"))</f>
        <v/>
      </c>
      <c r="T48" s="41">
        <f>COUNT($H48:$N48)</f>
        <v/>
      </c>
      <c r="U48" s="41">
        <f>IFERROR(IF(O48="","",O48*($H$3/3600/$C$3)^2+P48*($H$3/3600/$C$3)+Q48),"")</f>
        <v/>
      </c>
      <c r="V48" s="36" t="inlineStr">
        <is>
          <t>Cache Excel SV-GD 2018 (FORMULE_PDC). F7 mesuré.</t>
        </is>
      </c>
    </row>
    <row r="49">
      <c r="A49" s="33" t="inlineStr">
        <is>
          <t>FT-NETPAK-S-AZUR</t>
        </is>
      </c>
      <c r="B49" s="34" t="inlineStr">
        <is>
          <t>Compacts / poches rigides</t>
        </is>
      </c>
      <c r="C49" s="35" t="inlineStr">
        <is>
          <t>NETPAK S AZUR F8</t>
        </is>
      </c>
      <c r="D49" s="36" t="inlineStr">
        <is>
          <t>F8</t>
        </is>
      </c>
      <c r="E49" s="36" t="inlineStr">
        <is>
          <t>ePM1 70%</t>
        </is>
      </c>
      <c r="F49" s="36" t="n"/>
      <c r="G49" s="34" t="inlineStr">
        <is>
          <t>592×592×292</t>
        </is>
      </c>
      <c r="H49" s="37" t="n">
        <v>18</v>
      </c>
      <c r="I49" s="37" t="n">
        <v>29</v>
      </c>
      <c r="J49" s="37" t="n">
        <v>43</v>
      </c>
      <c r="K49" s="37" t="n">
        <v>57</v>
      </c>
      <c r="L49" s="37" t="n">
        <v>76</v>
      </c>
      <c r="M49" s="37" t="n">
        <v>95</v>
      </c>
      <c r="N49" s="37" t="n">
        <v>116</v>
      </c>
      <c r="O49" s="38">
        <f>IFERROR(IF(COUNT($H49:$N49)=7,INDEX(LINEST($H49:$N49,$H$6:$N$6^{1;2}),1,1),""),"")</f>
        <v/>
      </c>
      <c r="P49" s="38">
        <f>IFERROR(IF(COUNT($H49:$N49)=7,INDEX(LINEST($H49:$N49,$H$6:$N$6^{1;2}),1,2),""),"")</f>
        <v/>
      </c>
      <c r="Q49" s="38">
        <f>IFERROR(IF(COUNT($H49:$N49)=7,INDEX(LINEST($H49:$N49,$H$6:$N$6^{1;2}),1,3),""),"")</f>
        <v/>
      </c>
      <c r="R49" s="39">
        <f>IFERROR(IF(COUNT($H49:$N49)=7,INDEX(LINEST($H49:$N49,$H$6:$N$6^{1;2},TRUE(),TRUE()),3,1),""),"")</f>
        <v/>
      </c>
      <c r="S49" s="40">
        <f>IF(O49="","",TEXT(O49,"0.00")&amp;"·v² "&amp;IF(P49&gt;=0,"+ ","− ")&amp;TEXT(ABS(P49),"0.00")&amp;"·v "&amp;IF(Q49&gt;=0,"+ ","− ")&amp;TEXT(ABS(Q49),"0.00"))</f>
        <v/>
      </c>
      <c r="T49" s="41">
        <f>COUNT($H49:$N49)</f>
        <v/>
      </c>
      <c r="U49" s="41">
        <f>IFERROR(IF(O49="","",O49*($H$3/3600/$C$3)^2+P49*($H$3/3600/$C$3)+Q49),"")</f>
        <v/>
      </c>
      <c r="V49" s="36" t="inlineStr">
        <is>
          <t>⚠ DÉRIVÉ = F9×0,95 exactement (non mesuré) — à mesurer en R&amp;D.</t>
        </is>
      </c>
    </row>
    <row r="50">
      <c r="A50" s="33" t="inlineStr">
        <is>
          <t>FT-NETPAK-S-AZUR</t>
        </is>
      </c>
      <c r="B50" s="34" t="inlineStr">
        <is>
          <t>Compacts / poches rigides</t>
        </is>
      </c>
      <c r="C50" s="35" t="inlineStr">
        <is>
          <t>NETPAK S AZUR F9</t>
        </is>
      </c>
      <c r="D50" s="36" t="inlineStr">
        <is>
          <t>F9</t>
        </is>
      </c>
      <c r="E50" s="36" t="inlineStr">
        <is>
          <t>ePM1 80%</t>
        </is>
      </c>
      <c r="F50" s="36" t="n"/>
      <c r="G50" s="34" t="inlineStr">
        <is>
          <t>592×592×292</t>
        </is>
      </c>
      <c r="H50" s="37" t="n">
        <v>19</v>
      </c>
      <c r="I50" s="37" t="n">
        <v>31</v>
      </c>
      <c r="J50" s="37" t="n">
        <v>45</v>
      </c>
      <c r="K50" s="37" t="n">
        <v>60</v>
      </c>
      <c r="L50" s="37" t="n">
        <v>80</v>
      </c>
      <c r="M50" s="37" t="n">
        <v>100</v>
      </c>
      <c r="N50" s="37" t="n">
        <v>122</v>
      </c>
      <c r="O50" s="38">
        <f>IFERROR(IF(COUNT($H50:$N50)=7,INDEX(LINEST($H50:$N50,$H$6:$N$6^{1;2}),1,1),""),"")</f>
        <v/>
      </c>
      <c r="P50" s="38">
        <f>IFERROR(IF(COUNT($H50:$N50)=7,INDEX(LINEST($H50:$N50,$H$6:$N$6^{1;2}),1,2),""),"")</f>
        <v/>
      </c>
      <c r="Q50" s="38">
        <f>IFERROR(IF(COUNT($H50:$N50)=7,INDEX(LINEST($H50:$N50,$H$6:$N$6^{1;2}),1,3),""),"")</f>
        <v/>
      </c>
      <c r="R50" s="39">
        <f>IFERROR(IF(COUNT($H50:$N50)=7,INDEX(LINEST($H50:$N50,$H$6:$N$6^{1;2},TRUE(),TRUE()),3,1),""),"")</f>
        <v/>
      </c>
      <c r="S50" s="40">
        <f>IF(O50="","",TEXT(O50,"0.00")&amp;"·v² "&amp;IF(P50&gt;=0,"+ ","− ")&amp;TEXT(ABS(P50),"0.00")&amp;"·v "&amp;IF(Q50&gt;=0,"+ ","− ")&amp;TEXT(ABS(Q50),"0.00"))</f>
        <v/>
      </c>
      <c r="T50" s="41">
        <f>COUNT($H50:$N50)</f>
        <v/>
      </c>
      <c r="U50" s="41">
        <f>IFERROR(IF(O50="","",O50*($H$3/3600/$C$3)^2+P50*($H$3/3600/$C$3)+Q50),"")</f>
        <v/>
      </c>
      <c r="V50" s="36" t="inlineStr">
        <is>
          <t>Cache Excel SV-GD 2018 (FT). F9 mesuré.</t>
        </is>
      </c>
    </row>
    <row r="51">
      <c r="A51" s="33" t="inlineStr">
        <is>
          <t>FT-NETPAK-S-AZUR</t>
        </is>
      </c>
      <c r="B51" s="34" t="inlineStr">
        <is>
          <t>Compacts / poches rigides</t>
        </is>
      </c>
      <c r="C51" s="35" t="inlineStr">
        <is>
          <t>NETPAK S AZUR F9</t>
        </is>
      </c>
      <c r="D51" s="36" t="inlineStr">
        <is>
          <t>F9</t>
        </is>
      </c>
      <c r="E51" s="36" t="inlineStr">
        <is>
          <t>ePM1 80%</t>
        </is>
      </c>
      <c r="F51" s="36" t="n"/>
      <c r="G51" s="34" t="inlineStr">
        <is>
          <t>490×592×292</t>
        </is>
      </c>
      <c r="H51" s="37" t="n">
        <v>22</v>
      </c>
      <c r="I51" s="37" t="n">
        <v>38</v>
      </c>
      <c r="J51" s="37" t="n">
        <v>55</v>
      </c>
      <c r="K51" s="37" t="n">
        <v>74</v>
      </c>
      <c r="L51" s="37" t="n">
        <v>96</v>
      </c>
      <c r="M51" s="37" t="n">
        <v>119</v>
      </c>
      <c r="N51" s="37" t="n">
        <v>142</v>
      </c>
      <c r="O51" s="38">
        <f>IFERROR(IF(COUNT($H51:$N51)=7,INDEX(LINEST($H51:$N51,$H$6:$N$6^{1;2}),1,1),""),"")</f>
        <v/>
      </c>
      <c r="P51" s="38">
        <f>IFERROR(IF(COUNT($H51:$N51)=7,INDEX(LINEST($H51:$N51,$H$6:$N$6^{1;2}),1,2),""),"")</f>
        <v/>
      </c>
      <c r="Q51" s="38">
        <f>IFERROR(IF(COUNT($H51:$N51)=7,INDEX(LINEST($H51:$N51,$H$6:$N$6^{1;2}),1,3),""),"")</f>
        <v/>
      </c>
      <c r="R51" s="39">
        <f>IFERROR(IF(COUNT($H51:$N51)=7,INDEX(LINEST($H51:$N51,$H$6:$N$6^{1;2},TRUE(),TRUE()),3,1),""),"")</f>
        <v/>
      </c>
      <c r="S51" s="40">
        <f>IF(O51="","",TEXT(O51,"0.00")&amp;"·v² "&amp;IF(P51&gt;=0,"+ ","− ")&amp;TEXT(ABS(P51),"0.00")&amp;"·v "&amp;IF(Q51&gt;=0,"+ ","− ")&amp;TEXT(ABS(Q51),"0.00"))</f>
        <v/>
      </c>
      <c r="T51" s="41">
        <f>COUNT($H51:$N51)</f>
        <v/>
      </c>
      <c r="U51" s="41">
        <f>IFERROR(IF(O51="","",O51*($H$3/3600/$C$3)^2+P51*($H$3/3600/$C$3)+Q51),"")</f>
        <v/>
      </c>
      <c r="V51" s="36" t="inlineStr">
        <is>
          <t>Cache Excel SV-GD 490 (largeur réduite).</t>
        </is>
      </c>
    </row>
    <row r="52">
      <c r="A52" s="33" t="inlineStr">
        <is>
          <t>FT-NETPAK-S-LUMEN</t>
        </is>
      </c>
      <c r="B52" s="34" t="inlineStr">
        <is>
          <t>Compacts / poches rigides</t>
        </is>
      </c>
      <c r="C52" s="35" t="inlineStr">
        <is>
          <t>NETPAK S LUMEN F7</t>
        </is>
      </c>
      <c r="D52" s="36" t="inlineStr">
        <is>
          <t>F7</t>
        </is>
      </c>
      <c r="E52" s="36" t="inlineStr">
        <is>
          <t>ePM1 55%</t>
        </is>
      </c>
      <c r="F52" s="36" t="n"/>
      <c r="G52" s="34" t="inlineStr">
        <is>
          <t>592×592×292</t>
        </is>
      </c>
      <c r="H52" s="37" t="n">
        <v>8</v>
      </c>
      <c r="I52" s="37" t="n">
        <v>14</v>
      </c>
      <c r="J52" s="37" t="n">
        <v>25</v>
      </c>
      <c r="K52" s="37" t="n">
        <v>40</v>
      </c>
      <c r="L52" s="37" t="n">
        <v>56</v>
      </c>
      <c r="M52" s="37" t="n">
        <v>76</v>
      </c>
      <c r="N52" s="37" t="n">
        <v>96</v>
      </c>
      <c r="O52" s="38">
        <f>IFERROR(IF(COUNT($H52:$N52)=7,INDEX(LINEST($H52:$N52,$H$6:$N$6^{1;2}),1,1),""),"")</f>
        <v/>
      </c>
      <c r="P52" s="38">
        <f>IFERROR(IF(COUNT($H52:$N52)=7,INDEX(LINEST($H52:$N52,$H$6:$N$6^{1;2}),1,2),""),"")</f>
        <v/>
      </c>
      <c r="Q52" s="38">
        <f>IFERROR(IF(COUNT($H52:$N52)=7,INDEX(LINEST($H52:$N52,$H$6:$N$6^{1;2}),1,3),""),"")</f>
        <v/>
      </c>
      <c r="R52" s="39">
        <f>IFERROR(IF(COUNT($H52:$N52)=7,INDEX(LINEST($H52:$N52,$H$6:$N$6^{1;2},TRUE(),TRUE()),3,1),""),"")</f>
        <v/>
      </c>
      <c r="S52" s="40">
        <f>IF(O52="","",TEXT(O52,"0.00")&amp;"·v² "&amp;IF(P52&gt;=0,"+ ","− ")&amp;TEXT(ABS(P52),"0.00")&amp;"·v "&amp;IF(Q52&gt;=0,"+ ","− ")&amp;TEXT(ABS(Q52),"0.00"))</f>
        <v/>
      </c>
      <c r="T52" s="41">
        <f>COUNT($H52:$N52)</f>
        <v/>
      </c>
      <c r="U52" s="41">
        <f>IFERROR(IF(O52="","",O52*($H$3/3600/$C$3)^2+P52*($H$3/3600/$C$3)+Q52),"")</f>
        <v/>
      </c>
      <c r="V52" s="36" t="inlineStr">
        <is>
          <t>Courbe vectorielle PDF QUARTZ 2018 (FT 2019-041). Cohérent F7&lt;F8&lt;F9. Variantes MFILTER/FILTECH 2024-25 divergentes (FORMULE_PDC) → priorité 2018.</t>
        </is>
      </c>
    </row>
    <row r="53">
      <c r="A53" s="33" t="inlineStr">
        <is>
          <t>FT-NETPAK-S-LUMEN</t>
        </is>
      </c>
      <c r="B53" s="34" t="inlineStr">
        <is>
          <t>Compacts / poches rigides</t>
        </is>
      </c>
      <c r="C53" s="35" t="inlineStr">
        <is>
          <t>NETPAK S LUMEN F8</t>
        </is>
      </c>
      <c r="D53" s="36" t="inlineStr">
        <is>
          <t>F8</t>
        </is>
      </c>
      <c r="E53" s="36" t="inlineStr">
        <is>
          <t>ePM1 70%</t>
        </is>
      </c>
      <c r="F53" s="36" t="n"/>
      <c r="G53" s="34" t="inlineStr">
        <is>
          <t>592×592×292</t>
        </is>
      </c>
      <c r="H53" s="37" t="n">
        <v>11</v>
      </c>
      <c r="I53" s="37" t="n">
        <v>19</v>
      </c>
      <c r="J53" s="37" t="n">
        <v>32</v>
      </c>
      <c r="K53" s="37" t="n">
        <v>48</v>
      </c>
      <c r="L53" s="37" t="n">
        <v>67</v>
      </c>
      <c r="M53" s="37" t="n">
        <v>89</v>
      </c>
      <c r="N53" s="37" t="n">
        <v>115</v>
      </c>
      <c r="O53" s="38">
        <f>IFERROR(IF(COUNT($H53:$N53)=7,INDEX(LINEST($H53:$N53,$H$6:$N$6^{1;2}),1,1),""),"")</f>
        <v/>
      </c>
      <c r="P53" s="38">
        <f>IFERROR(IF(COUNT($H53:$N53)=7,INDEX(LINEST($H53:$N53,$H$6:$N$6^{1;2}),1,2),""),"")</f>
        <v/>
      </c>
      <c r="Q53" s="38">
        <f>IFERROR(IF(COUNT($H53:$N53)=7,INDEX(LINEST($H53:$N53,$H$6:$N$6^{1;2}),1,3),""),"")</f>
        <v/>
      </c>
      <c r="R53" s="39">
        <f>IFERROR(IF(COUNT($H53:$N53)=7,INDEX(LINEST($H53:$N53,$H$6:$N$6^{1;2},TRUE(),TRUE()),3,1),""),"")</f>
        <v/>
      </c>
      <c r="S53" s="40">
        <f>IF(O53="","",TEXT(O53,"0.00")&amp;"·v² "&amp;IF(P53&gt;=0,"+ ","− ")&amp;TEXT(ABS(P53),"0.00")&amp;"·v "&amp;IF(Q53&gt;=0,"+ ","− ")&amp;TEXT(ABS(Q53),"0.00"))</f>
        <v/>
      </c>
      <c r="T53" s="41">
        <f>COUNT($H53:$N53)</f>
        <v/>
      </c>
      <c r="U53" s="41">
        <f>IFERROR(IF(O53="","",O53*($H$3/3600/$C$3)^2+P53*($H$3/3600/$C$3)+Q53),"")</f>
        <v/>
      </c>
      <c r="V53" s="36" t="inlineStr">
        <is>
          <t>Courbe vectorielle PDF QUARTZ 2018 (FT 2019-041). Cohérent F7&lt;F8&lt;F9. Variantes MFILTER/FILTECH 2024-25 divergentes (FORMULE_PDC) → priorité 2018.</t>
        </is>
      </c>
    </row>
    <row r="54">
      <c r="A54" s="33" t="inlineStr">
        <is>
          <t>FT-NETPAK-S-LUMEN</t>
        </is>
      </c>
      <c r="B54" s="34" t="inlineStr">
        <is>
          <t>Compacts / poches rigides</t>
        </is>
      </c>
      <c r="C54" s="35" t="inlineStr">
        <is>
          <t>NETPAK S LUMEN F9</t>
        </is>
      </c>
      <c r="D54" s="36" t="inlineStr">
        <is>
          <t>F9</t>
        </is>
      </c>
      <c r="E54" s="36" t="inlineStr">
        <is>
          <t>ePM1 80%</t>
        </is>
      </c>
      <c r="F54" s="36" t="n"/>
      <c r="G54" s="34" t="inlineStr">
        <is>
          <t>592×592×292</t>
        </is>
      </c>
      <c r="H54" s="37" t="n">
        <v>12</v>
      </c>
      <c r="I54" s="37" t="n">
        <v>21</v>
      </c>
      <c r="J54" s="37" t="n">
        <v>34</v>
      </c>
      <c r="K54" s="37" t="n">
        <v>50</v>
      </c>
      <c r="L54" s="37" t="n">
        <v>70</v>
      </c>
      <c r="M54" s="37" t="n">
        <v>93</v>
      </c>
      <c r="N54" s="37" t="n">
        <v>120</v>
      </c>
      <c r="O54" s="38">
        <f>IFERROR(IF(COUNT($H54:$N54)=7,INDEX(LINEST($H54:$N54,$H$6:$N$6^{1;2}),1,1),""),"")</f>
        <v/>
      </c>
      <c r="P54" s="38">
        <f>IFERROR(IF(COUNT($H54:$N54)=7,INDEX(LINEST($H54:$N54,$H$6:$N$6^{1;2}),1,2),""),"")</f>
        <v/>
      </c>
      <c r="Q54" s="38">
        <f>IFERROR(IF(COUNT($H54:$N54)=7,INDEX(LINEST($H54:$N54,$H$6:$N$6^{1;2}),1,3),""),"")</f>
        <v/>
      </c>
      <c r="R54" s="39">
        <f>IFERROR(IF(COUNT($H54:$N54)=7,INDEX(LINEST($H54:$N54,$H$6:$N$6^{1;2},TRUE(),TRUE()),3,1),""),"")</f>
        <v/>
      </c>
      <c r="S54" s="40">
        <f>IF(O54="","",TEXT(O54,"0.00")&amp;"·v² "&amp;IF(P54&gt;=0,"+ ","− ")&amp;TEXT(ABS(P54),"0.00")&amp;"·v "&amp;IF(Q54&gt;=0,"+ ","− ")&amp;TEXT(ABS(Q54),"0.00"))</f>
        <v/>
      </c>
      <c r="T54" s="41">
        <f>COUNT($H54:$N54)</f>
        <v/>
      </c>
      <c r="U54" s="41">
        <f>IFERROR(IF(O54="","",O54*($H$3/3600/$C$3)^2+P54*($H$3/3600/$C$3)+Q54),"")</f>
        <v/>
      </c>
      <c r="V54" s="36" t="inlineStr">
        <is>
          <t>Courbe vectorielle PDF QUARTZ 2018 (FT 2019-041). Cohérent F7&lt;F8&lt;F9. Variantes MFILTER/FILTECH 2024-25 divergentes (FORMULE_PDC) → priorité 2018.</t>
        </is>
      </c>
    </row>
    <row r="55">
      <c r="A55" s="33" t="inlineStr">
        <is>
          <t>FT-NETPAK-S-BORA</t>
        </is>
      </c>
      <c r="B55" s="34" t="inlineStr">
        <is>
          <t>Compacts / poches rigides</t>
        </is>
      </c>
      <c r="C55" s="35" t="inlineStr">
        <is>
          <t>NETPAK S BORA</t>
        </is>
      </c>
      <c r="D55" s="36" t="inlineStr">
        <is>
          <t>F7</t>
        </is>
      </c>
      <c r="E55" s="36" t="inlineStr">
        <is>
          <t>ePM1 50% (GREENTEX)</t>
        </is>
      </c>
      <c r="F55" s="36" t="n">
        <v>100</v>
      </c>
      <c r="G55" s="34" t="inlineStr">
        <is>
          <t>592×592×100</t>
        </is>
      </c>
      <c r="H55" s="37" t="n">
        <v>12</v>
      </c>
      <c r="I55" s="37" t="n">
        <v>22</v>
      </c>
      <c r="J55" s="37" t="n">
        <v>35</v>
      </c>
      <c r="K55" s="37" t="n">
        <v>49</v>
      </c>
      <c r="L55" s="37" t="n">
        <v>66</v>
      </c>
      <c r="M55" s="37" t="n"/>
      <c r="N55" s="37" t="n"/>
      <c r="O55" s="38" t="n">
        <v>7.16</v>
      </c>
      <c r="P55" s="38" t="n">
        <v>11.42</v>
      </c>
      <c r="Q55" s="38" t="n">
        <v>-1.13</v>
      </c>
      <c r="R55" s="39" t="n">
        <v>0.9998</v>
      </c>
      <c r="S55" s="40" t="n"/>
      <c r="T55" s="41" t="n"/>
      <c r="U55" s="41" t="n">
        <v>67</v>
      </c>
      <c r="V55" s="36" t="inlineStr">
        <is>
          <t>Lu sur courbe image GR DSK F7.png (GREENTEX ePM1 50%, 592×592×100), recoupé FORMULE_PDC. Fit 16 pts (R²=0,9998). Mesuré ≤3100 m³/h. Specs = fiche HPE DSK 2020.</t>
        </is>
      </c>
    </row>
    <row r="56">
      <c r="A56" s="33" t="inlineStr">
        <is>
          <t>FT-NETCEL-V-NIVAL</t>
        </is>
      </c>
      <c r="B56" s="34" t="inlineStr">
        <is>
          <t>HEPA / T.H.E</t>
        </is>
      </c>
      <c r="C56" s="35" t="inlineStr">
        <is>
          <t>NETCEL V NIVAL</t>
        </is>
      </c>
      <c r="D56" s="36" t="inlineStr">
        <is>
          <t>H13 (EN 1822)</t>
        </is>
      </c>
      <c r="E56" s="36" t="inlineStr">
        <is>
          <t>≥ 99,95% MPPS</t>
        </is>
      </c>
      <c r="F56" s="36" t="n">
        <v>292</v>
      </c>
      <c r="G56" s="34" t="inlineStr">
        <is>
          <t>610×610×292</t>
        </is>
      </c>
      <c r="H56" s="37" t="n"/>
      <c r="I56" s="37" t="n"/>
      <c r="J56" s="37" t="n"/>
      <c r="K56" s="37" t="n"/>
      <c r="L56" s="37" t="n"/>
      <c r="M56" s="37" t="n"/>
      <c r="N56" s="37" t="n"/>
      <c r="O56" s="38" t="n">
        <v>9.44</v>
      </c>
      <c r="P56" s="38" t="n">
        <v>75.31</v>
      </c>
      <c r="Q56" s="38" t="n">
        <v>-1.2</v>
      </c>
      <c r="R56" s="39" t="n">
        <v>0.9999</v>
      </c>
      <c r="S56" s="40" t="n"/>
      <c r="T56" s="41" t="n"/>
      <c r="U56" s="41" t="n">
        <v>270</v>
      </c>
      <c r="V56" s="36" t="inlineStr">
        <is>
          <t>Cache Excel TITACEL V H13 : débit [640,1280,1920,2560,3200,3840] → ΔP [39,85,137,189,250,316]. Surface 40 m². E10/H14 courbes à ajouter (H14=copie H13). Mode HEPA : ΔP finale=2×init.</t>
        </is>
      </c>
    </row>
    <row r="57">
      <c r="A57" s="33" t="inlineStr">
        <is>
          <t>FT-NETCEL-V-AZUR</t>
        </is>
      </c>
      <c r="B57" s="34" t="inlineStr">
        <is>
          <t>HEPA / T.H.E</t>
        </is>
      </c>
      <c r="C57" s="35" t="inlineStr">
        <is>
          <t>NETCEL V AZUR E10</t>
        </is>
      </c>
      <c r="D57" s="36" t="inlineStr">
        <is>
          <t>E10 (EN 1822)</t>
        </is>
      </c>
      <c r="E57" s="36" t="inlineStr">
        <is>
          <t>≥ 85% MPPS</t>
        </is>
      </c>
      <c r="F57" s="36" t="n">
        <v>292</v>
      </c>
      <c r="G57" s="34" t="inlineStr">
        <is>
          <t>592×592×292</t>
        </is>
      </c>
      <c r="H57" s="37" t="n"/>
      <c r="I57" s="37" t="n"/>
      <c r="J57" s="37" t="n"/>
      <c r="K57" s="37" t="n"/>
      <c r="L57" s="37" t="n"/>
      <c r="M57" s="37" t="n"/>
      <c r="N57" s="37" t="n"/>
      <c r="O57" s="38" t="n">
        <v>7.16</v>
      </c>
      <c r="P57" s="38" t="n">
        <v>56.14</v>
      </c>
      <c r="Q57" s="38" t="n">
        <v>1.33</v>
      </c>
      <c r="R57" s="39" t="n">
        <v>0.9999</v>
      </c>
      <c r="S57" s="40" t="n"/>
      <c r="T57" s="41" t="n"/>
      <c r="U57" s="41" t="n">
        <v>176</v>
      </c>
      <c r="V57" s="36" t="inlineStr">
        <is>
          <t>Mode HEPA (ΔP finale=2×init). Cache Excel TITAPAK V GD E10 : débit [1000-3500] → ΔP [50,79,108,140,176,212]. Nominal fiche 3000 m³/h (02/08/2026).</t>
        </is>
      </c>
    </row>
    <row r="58">
      <c r="A58" s="33" t="inlineStr">
        <is>
          <t>FT-NETCEL-V-AZUR</t>
        </is>
      </c>
      <c r="B58" s="34" t="inlineStr">
        <is>
          <t>HEPA / T.H.E</t>
        </is>
      </c>
      <c r="C58" s="35" t="inlineStr">
        <is>
          <t>NETCEL V AZUR H13</t>
        </is>
      </c>
      <c r="D58" s="36" t="inlineStr">
        <is>
          <t>H13 (EN 1822)</t>
        </is>
      </c>
      <c r="E58" s="36" t="inlineStr">
        <is>
          <t>≥ 99,95% MPPS</t>
        </is>
      </c>
      <c r="F58" s="36" t="n">
        <v>292</v>
      </c>
      <c r="G58" s="34" t="inlineStr">
        <is>
          <t>592×592×292</t>
        </is>
      </c>
      <c r="H58" s="37" t="n"/>
      <c r="I58" s="37" t="n"/>
      <c r="J58" s="37" t="n"/>
      <c r="K58" s="37" t="n"/>
      <c r="L58" s="37" t="n"/>
      <c r="M58" s="37" t="n"/>
      <c r="N58" s="37" t="n"/>
      <c r="O58" s="38" t="n">
        <v>20.3525</v>
      </c>
      <c r="P58" s="38" t="n">
        <v>95.8058</v>
      </c>
      <c r="Q58" s="38" t="n">
        <v>-14.7</v>
      </c>
      <c r="R58" s="39" t="n">
        <v>0.9993</v>
      </c>
      <c r="S58" s="40" t="n"/>
      <c r="T58" s="41" t="n"/>
      <c r="U58" s="41" t="n">
        <v>331</v>
      </c>
      <c r="V58" s="36" t="inlineStr">
        <is>
          <t>Mode HEPA (ΔP finale=2×init). Cache Excel TITAPAK V-GD 592 H13 (24 m²) : débit [500-3000] → ΔP [25,75,131,188,250,331]. ✅ AXE DÉBIT CORRIGÉ 02/08/2026 (fiche source PDF ; l’extraction du cache comprimait l’axe de 20 % : 400-2400. Erreur détectée PA). Nominal fiche 3000 m³/h.</t>
        </is>
      </c>
    </row>
    <row r="59">
      <c r="A59" s="33" t="inlineStr">
        <is>
          <t>FT-NETCARB-CILIA</t>
        </is>
      </c>
      <c r="B59" s="34" t="inlineStr">
        <is>
          <t>Charbon actif</t>
        </is>
      </c>
      <c r="C59" s="35" t="inlineStr">
        <is>
          <t>NETCARB CILIA 48</t>
        </is>
      </c>
      <c r="D59" s="36" t="inlineStr">
        <is>
          <t>—</t>
        </is>
      </c>
      <c r="E59" s="36" t="inlineStr">
        <is>
          <t>Moléculaire (ISO 10121)</t>
        </is>
      </c>
      <c r="F59" s="36" t="n">
        <v>48</v>
      </c>
      <c r="G59" s="34" t="inlineStr">
        <is>
          <t>592×592×48</t>
        </is>
      </c>
      <c r="H59" s="37" t="n">
        <v>13</v>
      </c>
      <c r="I59" s="37" t="n">
        <v>23</v>
      </c>
      <c r="J59" s="37" t="n">
        <v>34</v>
      </c>
      <c r="K59" s="37" t="n">
        <v>46</v>
      </c>
      <c r="L59" s="37" t="n">
        <v>60</v>
      </c>
      <c r="M59" s="37" t="n">
        <v>76</v>
      </c>
      <c r="N59" s="37" t="n">
        <v>93</v>
      </c>
      <c r="O59" s="38">
        <f>IFERROR(IF(COUNT($H59:$N59)=7,INDEX(LINEST($H59:$N59,$H$6:$N$6^{1;2}),1,1),""),"")</f>
        <v/>
      </c>
      <c r="P59" s="38">
        <f>IFERROR(IF(COUNT($H59:$N59)=7,INDEX(LINEST($H59:$N59,$H$6:$N$6^{1;2}),1,2),""),"")</f>
        <v/>
      </c>
      <c r="Q59" s="38">
        <f>IFERROR(IF(COUNT($H59:$N59)=7,INDEX(LINEST($H59:$N59,$H$6:$N$6^{1;2}),1,3),""),"")</f>
        <v/>
      </c>
      <c r="R59" s="39">
        <f>IFERROR(IF(COUNT($H59:$N59)=7,INDEX(LINEST($H59:$N59,$H$6:$N$6^{1;2},TRUE(),TRUE()),3,1),""),"")</f>
        <v/>
      </c>
      <c r="S59" s="40">
        <f>IF(O59="","",TEXT(O59,"0.00")&amp;"·v² "&amp;IF(P59&gt;=0,"+ ","− ")&amp;TEXT(ABS(P59),"0.00")&amp;"·v "&amp;IF(Q59&gt;=0,"+ ","− ")&amp;TEXT(ABS(Q59),"0.00"))</f>
        <v/>
      </c>
      <c r="T59" s="41">
        <f>COUNT($H59:$N59)</f>
        <v/>
      </c>
      <c r="U59" s="41">
        <f>IFERROR(IF(O59="","",O59*($H$3/3600/$C$3)^2+P59*($H$3/3600/$C$3)+Q59),"")</f>
        <v/>
      </c>
      <c r="V59" s="36" t="inlineStr">
        <is>
          <t>Cache Excel CARB/PRISME CARB 48.xlsx (YGLA 2017). 7 pts grille standard. Filtre moléculaire (charbon) : ΔP non colmatante.</t>
        </is>
      </c>
    </row>
    <row r="60">
      <c r="A60" s="33" t="inlineStr">
        <is>
          <t>FT-NETCARB-CILIA</t>
        </is>
      </c>
      <c r="B60" s="34" t="inlineStr">
        <is>
          <t>Charbon actif</t>
        </is>
      </c>
      <c r="C60" s="35" t="inlineStr">
        <is>
          <t>NETCARB CILIA 98</t>
        </is>
      </c>
      <c r="D60" s="36" t="inlineStr">
        <is>
          <t>—</t>
        </is>
      </c>
      <c r="E60" s="36" t="inlineStr">
        <is>
          <t>Moléculaire (ISO 10121)</t>
        </is>
      </c>
      <c r="F60" s="36" t="n">
        <v>98</v>
      </c>
      <c r="G60" s="34" t="inlineStr">
        <is>
          <t>592×592×98</t>
        </is>
      </c>
      <c r="H60" s="37" t="n">
        <v>10</v>
      </c>
      <c r="I60" s="37" t="n">
        <v>18</v>
      </c>
      <c r="J60" s="37" t="n">
        <v>28</v>
      </c>
      <c r="K60" s="37" t="n">
        <v>41</v>
      </c>
      <c r="L60" s="37" t="n">
        <v>55</v>
      </c>
      <c r="M60" s="37" t="n">
        <v>70</v>
      </c>
      <c r="N60" s="37" t="n">
        <v>87</v>
      </c>
      <c r="O60" s="38">
        <f>IFERROR(IF(COUNT($H60:$N60)=7,INDEX(LINEST($H60:$N60,$H$6:$N$6^{1;2}),1,1),""),"")</f>
        <v/>
      </c>
      <c r="P60" s="38">
        <f>IFERROR(IF(COUNT($H60:$N60)=7,INDEX(LINEST($H60:$N60,$H$6:$N$6^{1;2}),1,2),""),"")</f>
        <v/>
      </c>
      <c r="Q60" s="38">
        <f>IFERROR(IF(COUNT($H60:$N60)=7,INDEX(LINEST($H60:$N60,$H$6:$N$6^{1;2}),1,3),""),"")</f>
        <v/>
      </c>
      <c r="R60" s="39">
        <f>IFERROR(IF(COUNT($H60:$N60)=7,INDEX(LINEST($H60:$N60,$H$6:$N$6^{1;2},TRUE(),TRUE()),3,1),""),"")</f>
        <v/>
      </c>
      <c r="S60" s="40">
        <f>IF(O60="","",TEXT(O60,"0.00")&amp;"·v² "&amp;IF(P60&gt;=0,"+ ","− ")&amp;TEXT(ABS(P60),"0.00")&amp;"·v "&amp;IF(Q60&gt;=0,"+ ","− ")&amp;TEXT(ABS(Q60),"0.00"))</f>
        <v/>
      </c>
      <c r="T60" s="41">
        <f>COUNT($H60:$N60)</f>
        <v/>
      </c>
      <c r="U60" s="41">
        <f>IFERROR(IF(O60="","",O60*($H$3/3600/$C$3)^2+P60*($H$3/3600/$C$3)+Q60),"")</f>
        <v/>
      </c>
      <c r="V60" s="36" t="inlineStr">
        <is>
          <t>Cache Excel CARB/PRISME CARB 98.xlsx (YGLA 2017). 7 pts grille standard. Filtre moléculaire (charbon) : ΔP non colmatante.</t>
        </is>
      </c>
    </row>
    <row r="61">
      <c r="A61" s="33" t="inlineStr">
        <is>
          <t>FT-NETCARB-AZUR</t>
        </is>
      </c>
      <c r="B61" s="34" t="inlineStr">
        <is>
          <t>Charbon actif</t>
        </is>
      </c>
      <c r="C61" s="35" t="inlineStr">
        <is>
          <t>NETCARB AZUR</t>
        </is>
      </c>
      <c r="D61" s="36" t="inlineStr">
        <is>
          <t>—</t>
        </is>
      </c>
      <c r="E61" s="36" t="inlineStr">
        <is>
          <t>Moléculaire</t>
        </is>
      </c>
      <c r="F61" s="36" t="n">
        <v>292</v>
      </c>
      <c r="G61" s="34" t="inlineStr">
        <is>
          <t>592×592×292</t>
        </is>
      </c>
      <c r="H61" s="37" t="n">
        <v>22</v>
      </c>
      <c r="I61" s="37" t="n">
        <v>38</v>
      </c>
      <c r="J61" s="37" t="n">
        <v>56</v>
      </c>
      <c r="K61" s="37" t="n">
        <v>77</v>
      </c>
      <c r="L61" s="37" t="n">
        <v>101</v>
      </c>
      <c r="M61" s="37" t="n">
        <v>128</v>
      </c>
      <c r="N61" s="37" t="n">
        <v>155</v>
      </c>
      <c r="O61" s="38">
        <f>IFERROR(IF(COUNT($H61:$N61)=7,INDEX(LINEST($H61:$N61,$H$6:$N$6^{1;2}),1,1),""),"")</f>
        <v/>
      </c>
      <c r="P61" s="38">
        <f>IFERROR(IF(COUNT($H61:$N61)=7,INDEX(LINEST($H61:$N61,$H$6:$N$6^{1;2}),1,2),""),"")</f>
        <v/>
      </c>
      <c r="Q61" s="38">
        <f>IFERROR(IF(COUNT($H61:$N61)=7,INDEX(LINEST($H61:$N61,$H$6:$N$6^{1;2}),1,3),""),"")</f>
        <v/>
      </c>
      <c r="R61" s="39">
        <f>IFERROR(IF(COUNT($H61:$N61)=7,INDEX(LINEST($H61:$N61,$H$6:$N$6^{1;2},TRUE(),TRUE()),3,1),""),"")</f>
        <v/>
      </c>
      <c r="S61" s="40">
        <f>IF(O61="","",TEXT(O61,"0.00")&amp;"·v² "&amp;IF(P61&gt;=0,"+ ","− ")&amp;TEXT(ABS(P61),"0.00")&amp;"·v "&amp;IF(Q61&gt;=0,"+ ","− ")&amp;TEXT(ABS(Q61),"0.00"))</f>
        <v/>
      </c>
      <c r="T61" s="41">
        <f>COUNT($H61:$N61)</f>
        <v/>
      </c>
      <c r="U61" s="41">
        <f>IFERROR(IF(O61="","",O61*($H$3/3600/$C$3)^2+P61*($H$3/3600/$C$3)+Q61),"")</f>
        <v/>
      </c>
      <c r="V61" s="36" t="inlineStr">
        <is>
          <t>Courbe 2023 retenue (décision PA 12/10/2026) : fiche SV-GD CARB 2023.pdf (créée 07/11/2024, classe ISO NA = charbon seul), 7 pts 0,79→3,17 m/s = 1 000→4 000 m³/h ; ΔP@3400 ≈ 121 Pa. Les fichiers F7/F8 2023 en sont des copies (version combinée non mesurée). Remplace la courbe 2020 [18,31,45,61,79,103 de 1 000 à 3 500] utilisée en v1.0. Charbon → ΔP non colmatante.</t>
        </is>
      </c>
    </row>
    <row r="62">
      <c r="A62" s="33" t="inlineStr">
        <is>
          <t>FT-NETCARB-NIVAL</t>
        </is>
      </c>
      <c r="B62" s="34" t="inlineStr">
        <is>
          <t>Charbon actif</t>
        </is>
      </c>
      <c r="C62" s="35" t="inlineStr">
        <is>
          <t>NETCARB NIVAL</t>
        </is>
      </c>
      <c r="D62" s="36" t="inlineStr">
        <is>
          <t>—</t>
        </is>
      </c>
      <c r="E62" s="36" t="inlineStr">
        <is>
          <t>Moléculaire</t>
        </is>
      </c>
      <c r="F62" s="36" t="n">
        <v>292</v>
      </c>
      <c r="G62" s="34" t="inlineStr">
        <is>
          <t>592×592×292</t>
        </is>
      </c>
      <c r="H62" s="37" t="n">
        <v>18</v>
      </c>
      <c r="I62" s="37" t="n">
        <v>31</v>
      </c>
      <c r="J62" s="37" t="n">
        <v>45</v>
      </c>
      <c r="K62" s="37" t="n">
        <v>61</v>
      </c>
      <c r="L62" s="37" t="n">
        <v>79</v>
      </c>
      <c r="M62" s="37" t="n">
        <v>103</v>
      </c>
      <c r="N62" s="37" t="n"/>
      <c r="O62" s="38">
        <f>IFERROR(IF(COUNT($H62:$N62)=7,INDEX(LINEST($H62:$N62,$H$6:$N$6^{1;2}),1,1),""),"")</f>
        <v/>
      </c>
      <c r="P62" s="38">
        <f>IFERROR(IF(COUNT($H62:$N62)=7,INDEX(LINEST($H62:$N62,$H$6:$N$6^{1;2}),1,2),""),"")</f>
        <v/>
      </c>
      <c r="Q62" s="38">
        <f>IFERROR(IF(COUNT($H62:$N62)=7,INDEX(LINEST($H62:$N62,$H$6:$N$6^{1;2}),1,3),""),"")</f>
        <v/>
      </c>
      <c r="R62" s="39">
        <f>IFERROR(IF(COUNT($H62:$N62)=7,INDEX(LINEST($H62:$N62,$H$6:$N$6^{1;2},TRUE(),TRUE()),3,1),""),"")</f>
        <v/>
      </c>
      <c r="S62" s="40">
        <f>IF(O62="","",TEXT(O62,"0.00")&amp;"·v² "&amp;IF(P62&gt;=0,"+ ","− ")&amp;TEXT(ABS(P62),"0.00")&amp;"·v "&amp;IF(Q62&gt;=0,"+ ","− ")&amp;TEXT(ABS(Q62),"0.00"))</f>
        <v/>
      </c>
      <c r="T62" s="41">
        <f>COUNT($H62:$N62)</f>
        <v/>
      </c>
      <c r="U62" s="41">
        <f>IFERROR(IF(O62="","",O62*($H$3/3600/$C$3)^2+P62*($H$3/3600/$C$3)+Q62),"")</f>
        <v/>
      </c>
      <c r="V62" s="36" t="inlineStr">
        <is>
          <t>⚠ AUCUNE COURBE AFFICHÉE depuis la v1.1 (décision PA 12/10/2026, clé sans_courbe) : pas de mesure du V-CARB charbon seul. Les valeurs de cette ligne = ancienne courbe empruntée QL-CARB 2013 (même que l'ancienne AZUR), conservées pour mémoire, NON UTILISÉES. Fiche V-CARB F7 2018 (combinée) = copie de QL-CARB F9 2013 → non fiable. Courbe V-CARB à obtenir du fournisseur.</t>
        </is>
      </c>
    </row>
    <row r="63">
      <c r="A63" s="33" t="inlineStr">
        <is>
          <t>FT-NETCARB-BAG</t>
        </is>
      </c>
      <c r="B63" s="34" t="inlineStr">
        <is>
          <t>Charbon actif (combiné)</t>
        </is>
      </c>
      <c r="C63" s="35" t="inlineStr">
        <is>
          <t>NETCARB BAG F9</t>
        </is>
      </c>
      <c r="D63" s="36" t="inlineStr">
        <is>
          <t>F9</t>
        </is>
      </c>
      <c r="E63" s="36" t="inlineStr">
        <is>
          <t>ePM1 80% + CA</t>
        </is>
      </c>
      <c r="F63" s="36" t="n">
        <v>520</v>
      </c>
      <c r="G63" s="34" t="inlineStr">
        <is>
          <t>592×592×520</t>
        </is>
      </c>
      <c r="H63" s="37" t="n">
        <v>47</v>
      </c>
      <c r="I63" s="37" t="n">
        <v>78</v>
      </c>
      <c r="J63" s="37" t="n">
        <v>114</v>
      </c>
      <c r="K63" s="37" t="n">
        <v>151</v>
      </c>
      <c r="L63" s="37" t="n">
        <v>196</v>
      </c>
      <c r="M63" s="37" t="n">
        <v>239</v>
      </c>
      <c r="N63" s="37" t="n">
        <v>284</v>
      </c>
      <c r="O63" s="38">
        <f>IFERROR(IF(COUNT($H63:$N63)=7,INDEX(LINEST($H63:$N63,$H$6:$N$6^{1;2}),1,1),""),"")</f>
        <v/>
      </c>
      <c r="P63" s="38">
        <f>IFERROR(IF(COUNT($H63:$N63)=7,INDEX(LINEST($H63:$N63,$H$6:$N$6^{1;2}),1,2),""),"")</f>
        <v/>
      </c>
      <c r="Q63" s="38">
        <f>IFERROR(IF(COUNT($H63:$N63)=7,INDEX(LINEST($H63:$N63,$H$6:$N$6^{1;2}),1,3),""),"")</f>
        <v/>
      </c>
      <c r="R63" s="39">
        <f>IFERROR(IF(COUNT($H63:$N63)=7,INDEX(LINEST($H63:$N63,$H$6:$N$6^{1;2},TRUE(),TRUE()),3,1),""),"")</f>
        <v/>
      </c>
      <c r="S63" s="40">
        <f>IF(O63="","",TEXT(O63,"0.00")&amp;"·v² "&amp;IF(P63&gt;=0,"+ ","− ")&amp;TEXT(ABS(P63),"0.00")&amp;"·v "&amp;IF(Q63&gt;=0,"+ ","− ")&amp;TEXT(ABS(Q63),"0.00"))</f>
        <v/>
      </c>
      <c r="T63" s="41">
        <f>COUNT($H63:$N63)</f>
        <v/>
      </c>
      <c r="U63" s="41">
        <f>IFERROR(IF(O63="","",O63*($H$3/3600/$C$3)^2+P63*($H$3/3600/$C$3)+Q63),"")</f>
        <v/>
      </c>
      <c r="V63" s="36" t="inlineStr">
        <is>
          <t>TITABAG F9 CARB 2021 (cache Excel). COMBINÉ F9 ePM1 80% + charbon imprégné → COLMATANT, règle ePM +100 (PAS const). Capacité 15%. Cadre acier, 520mm.</t>
        </is>
      </c>
    </row>
  </sheetData>
  <mergeCells count="4">
    <mergeCell ref="A2:V2"/>
    <mergeCell ref="A1:V1"/>
    <mergeCell ref="A3:B3"/>
    <mergeCell ref="E3:G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2026-06-21T12:48:48Z</dcterms:created>
  <dcterms:modified xsi:type="dcterms:W3CDTF">2026-10-12T12:16:30Z</dcterms:modified>
  <cp:revision>0</cp:revision>
</cp:coreProperties>
</file>