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20</v>
      </c>
      <c r="G8" s="34" t="inlineStr">
        <is>
          <t>592×592×20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G2 → M5</t>
        </is>
      </c>
      <c r="E9" s="36" t="inlineStr">
        <is>
          <t>ISO Coarse → ePM10</t>
        </is>
      </c>
      <c r="F9" s="36" t="n"/>
      <c r="G9" s="34" t="inlineStr">
        <is>
          <t>rouleau</t>
        </is>
      </c>
      <c r="H9" s="37" t="n"/>
      <c r="I9" s="37" t="n"/>
      <c r="J9" s="37" t="n"/>
      <c r="K9" s="37" t="n"/>
      <c r="L9" s="37" t="n"/>
      <c r="M9" s="37" t="n"/>
      <c r="N9" s="37" t="n"/>
      <c r="O9" s="38">
        <f>IFERROR(IF(COUNT($H9:$N9)=7,INDEX(LINEST($H9:$N9,$H$6:$N$6^{1;2}),1,1),""),"")</f>
        <v/>
      </c>
      <c r="P9" s="38">
        <f>IFERROR(IF(COUNT($H9:$N9)=7,INDEX(LINEST($H9:$N9,$H$6:$N$6^{1;2}),1,2),""),"")</f>
        <v/>
      </c>
      <c r="Q9" s="38">
        <f>IFERROR(IF(COUNT($H9:$N9)=7,INDEX(LINEST($H9:$N9,$H$6:$N$6^{1;2}),1,3),""),"")</f>
        <v/>
      </c>
      <c r="R9" s="39">
        <f>IFERROR(IF(COUNT($H9:$N9)=7,INDEX(LINEST($H9:$N9,$H$6:$N$6^{1;2},TRUE(),TRUE()),3,1),""),"")</f>
        <v/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>
        <f>IFERROR(IF(O9="","",O9*($H$3/3600/$C$3)^2+P9*($H$3/3600/$C$3)+Q9),"")</f>
        <v/>
      </c>
      <c r="V9" s="36" t="n"/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n"/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n"/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2026-06-21T23:30:12Z</dcterms:modified>
  <cp:revision>0</cp:revision>
</cp:coreProperties>
</file>