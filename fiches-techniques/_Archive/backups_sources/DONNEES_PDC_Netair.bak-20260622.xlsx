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onnées PDC R&amp;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0897A5"/>
      <sz val="9"/>
    </font>
    <font>
      <name val="Arial"/>
      <charset val="1"/>
      <family val="0"/>
      <i val="1"/>
      <color rgb="FFA0A0A0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FFDE7"/>
      </patternFill>
    </fill>
    <fill>
      <patternFill patternType="solid">
        <fgColor rgb="FF1F3864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EEF2F8"/>
        <bgColor rgb="FFFFFD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2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" fontId="1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2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" fontId="11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7A5"/>
      <rgbColor rgb="FFBFBFBF"/>
      <rgbColor rgb="FF808080"/>
      <rgbColor rgb="FF9999FF"/>
      <rgbColor rgb="FF993366"/>
      <rgbColor rgb="FFFFFDE7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baseColWidth="8" defaultColWidth="8.515625" defaultRowHeight="15" customHeight="0" zeroHeight="0" outlineLevelRow="0"/>
  <cols>
    <col width="17" customWidth="1" style="21" min="1" max="1"/>
    <col width="15" customWidth="1" style="21" min="2" max="3"/>
    <col width="10" customWidth="1" style="21" min="4" max="4"/>
    <col width="13" customWidth="1" style="21" min="5" max="5"/>
    <col width="7" customWidth="1" style="21" min="6" max="6"/>
    <col width="13" customWidth="1" style="21" min="7" max="7"/>
    <col width="7" customWidth="1" style="21" min="8" max="14"/>
    <col width="8" customWidth="1" style="21" min="15" max="18"/>
    <col width="26" customWidth="1" style="21" min="19" max="19"/>
    <col width="5" customWidth="1" style="21" min="20" max="20"/>
    <col width="9" customWidth="1" style="21" min="21" max="21"/>
    <col width="12" customWidth="1" style="21" min="22" max="22"/>
  </cols>
  <sheetData>
    <row r="1" ht="17.25" customHeight="1" s="22">
      <c r="A1" s="23" t="inlineStr">
        <is>
          <t>NETAIR — Données R&amp;D · Perte de charge (ΔP)</t>
        </is>
      </c>
    </row>
    <row r="2" ht="15" customHeight="1" s="22">
      <c r="A2" s="24" t="inlineStr">
        <is>
          <t>Modèle  ΔP = a·v² + b·v + c  —  saisir les ΔP mesurées (Pa, cases jaunes) ; vitesse, polynôme et R² se calculent automatiquement.</t>
        </is>
      </c>
    </row>
    <row r="3" ht="15" customHeight="1" s="22">
      <c r="A3" s="25" t="inlineStr">
        <is>
          <t>Section frontale (m²) :</t>
        </is>
      </c>
      <c r="C3" s="26">
        <f>0.592*0.592</f>
        <v/>
      </c>
      <c r="E3" s="25" t="inlineStr">
        <is>
          <t>Débit nominal fiche (m³/h) :</t>
        </is>
      </c>
      <c r="H3" s="27" t="n">
        <v>3400</v>
      </c>
    </row>
    <row r="5" ht="30" customHeight="1" s="22">
      <c r="A5" s="28" t="inlineStr">
        <is>
          <t>N° FICHE</t>
        </is>
      </c>
      <c r="B5" s="28" t="inlineStr">
        <is>
          <t>FAMILLE</t>
        </is>
      </c>
      <c r="C5" s="28" t="inlineStr">
        <is>
          <t>RÉFÉRENCE</t>
        </is>
      </c>
      <c r="D5" s="28" t="inlineStr">
        <is>
          <t>CLASSE
EN 779</t>
        </is>
      </c>
      <c r="E5" s="28" t="inlineStr">
        <is>
          <t>ISO 16890</t>
        </is>
      </c>
      <c r="F5" s="28" t="inlineStr">
        <is>
          <t>ÉP.
(mm)</t>
        </is>
      </c>
      <c r="G5" s="28" t="inlineStr">
        <is>
          <t>DIMENSIONS</t>
        </is>
      </c>
      <c r="H5" s="29" t="n">
        <v>1000</v>
      </c>
      <c r="I5" s="29" t="n">
        <v>1500</v>
      </c>
      <c r="J5" s="29" t="n">
        <v>2000</v>
      </c>
      <c r="K5" s="29" t="n">
        <v>2500</v>
      </c>
      <c r="L5" s="29" t="n">
        <v>3000</v>
      </c>
      <c r="M5" s="29" t="n">
        <v>3500</v>
      </c>
      <c r="N5" s="29" t="n">
        <v>4000</v>
      </c>
      <c r="O5" s="28" t="inlineStr">
        <is>
          <t>a
(·v²)</t>
        </is>
      </c>
      <c r="P5" s="28" t="inlineStr">
        <is>
          <t>b
(·v)</t>
        </is>
      </c>
      <c r="Q5" s="28" t="inlineStr">
        <is>
          <t>c</t>
        </is>
      </c>
      <c r="R5" s="28" t="inlineStr">
        <is>
          <t>R²</t>
        </is>
      </c>
      <c r="S5" s="28" t="inlineStr">
        <is>
          <t>POLYNÔME  (a·v²+b·v+c)</t>
        </is>
      </c>
      <c r="T5" s="28" t="inlineStr">
        <is>
          <t>Pts</t>
        </is>
      </c>
      <c r="U5" s="28" t="inlineStr">
        <is>
          <t>ΔP nom.
(Pa)</t>
        </is>
      </c>
      <c r="V5" s="28" t="inlineStr">
        <is>
          <t>DATE
TEST</t>
        </is>
      </c>
    </row>
    <row r="6" ht="15" customHeight="1" s="22">
      <c r="G6" s="30" t="inlineStr">
        <is>
          <t>Vitesse (m/s) →</t>
        </is>
      </c>
      <c r="H6" s="31">
        <f>H5/3600/$C$3</f>
        <v/>
      </c>
      <c r="I6" s="31">
        <f>I5/3600/$C$3</f>
        <v/>
      </c>
      <c r="J6" s="31">
        <f>J5/3600/$C$3</f>
        <v/>
      </c>
      <c r="K6" s="31">
        <f>K5/3600/$C$3</f>
        <v/>
      </c>
      <c r="L6" s="31">
        <f>L5/3600/$C$3</f>
        <v/>
      </c>
      <c r="M6" s="31">
        <f>M5/3600/$C$3</f>
        <v/>
      </c>
      <c r="N6" s="31">
        <f>N5/3600/$C$3</f>
        <v/>
      </c>
      <c r="S6" s="32" t="inlineStr">
        <is>
          <t>Vitesse déduite de la section 592×592</t>
        </is>
      </c>
    </row>
    <row r="7" ht="15" customHeight="1" s="22">
      <c r="A7" s="33" t="inlineStr">
        <is>
          <t>FT-NETMETAL</t>
        </is>
      </c>
      <c r="B7" s="34" t="inlineStr">
        <is>
          <t>Préfiltres</t>
        </is>
      </c>
      <c r="C7" s="35" t="inlineStr">
        <is>
          <t>NETMETAL</t>
        </is>
      </c>
      <c r="D7" s="36" t="inlineStr">
        <is>
          <t>G1 / G2</t>
        </is>
      </c>
      <c r="E7" s="36" t="inlineStr">
        <is>
          <t>ISO Coarse</t>
        </is>
      </c>
      <c r="F7" s="36" t="n"/>
      <c r="G7" s="34" t="inlineStr">
        <is>
          <t>592×592×__</t>
        </is>
      </c>
      <c r="H7" s="37" t="n"/>
      <c r="I7" s="37" t="n"/>
      <c r="J7" s="37" t="n"/>
      <c r="K7" s="37" t="n"/>
      <c r="L7" s="37" t="n"/>
      <c r="M7" s="37" t="n"/>
      <c r="N7" s="37" t="n"/>
      <c r="O7" s="38">
        <f>IFERROR(IF(COUNT($H7:$N7)=7,INDEX(LINEST($H7:$N7,$H$6:$N$6^{1;2}),1,1),""),"")</f>
        <v/>
      </c>
      <c r="P7" s="38">
        <f>IFERROR(IF(COUNT($H7:$N7)=7,INDEX(LINEST($H7:$N7,$H$6:$N$6^{1;2}),1,2),""),"")</f>
        <v/>
      </c>
      <c r="Q7" s="38">
        <f>IFERROR(IF(COUNT($H7:$N7)=7,INDEX(LINEST($H7:$N7,$H$6:$N$6^{1;2}),1,3),""),"")</f>
        <v/>
      </c>
      <c r="R7" s="39">
        <f>IFERROR(IF(COUNT($H7:$N7)=7,INDEX(LINEST($H7:$N7,$H$6:$N$6^{1;2},TRUE(),TRUE()),3,1),""),"")</f>
        <v/>
      </c>
      <c r="S7" s="40">
        <f>IF(O7="","",TEXT(O7,"0.00")&amp;"·v² "&amp;IF(P7&gt;=0,"+ ","− ")&amp;TEXT(ABS(P7),"0.00")&amp;"·v "&amp;IF(Q7&gt;=0,"+ ","− ")&amp;TEXT(ABS(Q7),"0.00"))</f>
        <v/>
      </c>
      <c r="T7" s="41">
        <f>COUNT($H7:$N7)</f>
        <v/>
      </c>
      <c r="U7" s="41">
        <f>IFERROR(IF(O7="","",O7*($H$3/3600/$C$3)^2+P7*($H$3/3600/$C$3)+Q7),"")</f>
        <v/>
      </c>
      <c r="V7" s="36" t="n"/>
    </row>
    <row r="8" ht="15" customHeight="1" s="22">
      <c r="A8" s="33" t="inlineStr">
        <is>
          <t>FT-NETFIL</t>
        </is>
      </c>
      <c r="B8" s="34" t="inlineStr">
        <is>
          <t>Préfiltres</t>
        </is>
      </c>
      <c r="C8" s="35" t="inlineStr">
        <is>
          <t>NETFIL</t>
        </is>
      </c>
      <c r="D8" s="36" t="inlineStr">
        <is>
          <t>G2 / G3</t>
        </is>
      </c>
      <c r="E8" s="36" t="inlineStr">
        <is>
          <t>ISO Coarse</t>
        </is>
      </c>
      <c r="F8" s="36" t="n"/>
      <c r="G8" s="34" t="inlineStr">
        <is>
          <t>592×592×__</t>
        </is>
      </c>
      <c r="H8" s="37" t="n"/>
      <c r="I8" s="37" t="n"/>
      <c r="J8" s="37" t="n"/>
      <c r="K8" s="37" t="n"/>
      <c r="L8" s="37" t="n"/>
      <c r="M8" s="37" t="n"/>
      <c r="N8" s="37" t="n"/>
      <c r="O8" s="38">
        <f>IFERROR(IF(COUNT($H8:$N8)=7,INDEX(LINEST($H8:$N8,$H$6:$N$6^{1;2}),1,1),""),"")</f>
        <v/>
      </c>
      <c r="P8" s="38">
        <f>IFERROR(IF(COUNT($H8:$N8)=7,INDEX(LINEST($H8:$N8,$H$6:$N$6^{1;2}),1,2),""),"")</f>
        <v/>
      </c>
      <c r="Q8" s="38">
        <f>IFERROR(IF(COUNT($H8:$N8)=7,INDEX(LINEST($H8:$N8,$H$6:$N$6^{1;2}),1,3),""),"")</f>
        <v/>
      </c>
      <c r="R8" s="39">
        <f>IFERROR(IF(COUNT($H8:$N8)=7,INDEX(LINEST($H8:$N8,$H$6:$N$6^{1;2},TRUE(),TRUE()),3,1),""),"")</f>
        <v/>
      </c>
      <c r="S8" s="40">
        <f>IF(O8="","",TEXT(O8,"0.00")&amp;"·v² "&amp;IF(P8&gt;=0,"+ ","− ")&amp;TEXT(ABS(P8),"0.00")&amp;"·v "&amp;IF(Q8&gt;=0,"+ ","− ")&amp;TEXT(ABS(Q8),"0.00"))</f>
        <v/>
      </c>
      <c r="T8" s="41">
        <f>COUNT($H8:$N8)</f>
        <v/>
      </c>
      <c r="U8" s="41">
        <f>IFERROR(IF(O8="","",O8*($H$3/3600/$C$3)^2+P8*($H$3/3600/$C$3)+Q8),"")</f>
        <v/>
      </c>
      <c r="V8" s="36" t="n"/>
    </row>
    <row r="9" ht="20.25" customHeight="1" s="22">
      <c r="A9" s="33" t="inlineStr">
        <is>
          <t>FT-NETFIBRE</t>
        </is>
      </c>
      <c r="B9" s="34" t="inlineStr">
        <is>
          <t>Préfiltres</t>
        </is>
      </c>
      <c r="C9" s="35" t="inlineStr">
        <is>
          <t>NETFIBRE</t>
        </is>
      </c>
      <c r="D9" s="36" t="inlineStr">
        <is>
          <t>G2 → M5</t>
        </is>
      </c>
      <c r="E9" s="36" t="inlineStr">
        <is>
          <t>ISO Coarse → ePM10</t>
        </is>
      </c>
      <c r="F9" s="36" t="n"/>
      <c r="G9" s="34" t="inlineStr">
        <is>
          <t>rouleau</t>
        </is>
      </c>
      <c r="H9" s="37" t="n"/>
      <c r="I9" s="37" t="n"/>
      <c r="J9" s="37" t="n"/>
      <c r="K9" s="37" t="n"/>
      <c r="L9" s="37" t="n"/>
      <c r="M9" s="37" t="n"/>
      <c r="N9" s="37" t="n"/>
      <c r="O9" s="38">
        <f>IFERROR(IF(COUNT($H9:$N9)=7,INDEX(LINEST($H9:$N9,$H$6:$N$6^{1;2}),1,1),""),"")</f>
        <v/>
      </c>
      <c r="P9" s="38">
        <f>IFERROR(IF(COUNT($H9:$N9)=7,INDEX(LINEST($H9:$N9,$H$6:$N$6^{1;2}),1,2),""),"")</f>
        <v/>
      </c>
      <c r="Q9" s="38">
        <f>IFERROR(IF(COUNT($H9:$N9)=7,INDEX(LINEST($H9:$N9,$H$6:$N$6^{1;2}),1,3),""),"")</f>
        <v/>
      </c>
      <c r="R9" s="39">
        <f>IFERROR(IF(COUNT($H9:$N9)=7,INDEX(LINEST($H9:$N9,$H$6:$N$6^{1;2},TRUE(),TRUE()),3,1),""),"")</f>
        <v/>
      </c>
      <c r="S9" s="40">
        <f>IF(O9="","",TEXT(O9,"0.00")&amp;"·v² "&amp;IF(P9&gt;=0,"+ ","− ")&amp;TEXT(ABS(P9),"0.00")&amp;"·v "&amp;IF(Q9&gt;=0,"+ ","− ")&amp;TEXT(ABS(Q9),"0.00"))</f>
        <v/>
      </c>
      <c r="T9" s="41">
        <f>COUNT($H9:$N9)</f>
        <v/>
      </c>
      <c r="U9" s="41">
        <f>IFERROR(IF(O9="","",O9*($H$3/3600/$C$3)^2+P9*($H$3/3600/$C$3)+Q9),"")</f>
        <v/>
      </c>
      <c r="V9" s="36" t="n"/>
    </row>
    <row r="10" ht="15" customHeight="1" s="22">
      <c r="A10" s="33" t="inlineStr">
        <is>
          <t>FT-NETPLY</t>
        </is>
      </c>
      <c r="B10" s="34" t="inlineStr">
        <is>
          <t>Préfiltres</t>
        </is>
      </c>
      <c r="C10" s="35" t="inlineStr">
        <is>
          <t>NETPLY</t>
        </is>
      </c>
      <c r="D10" s="36" t="inlineStr">
        <is>
          <t>G4</t>
        </is>
      </c>
      <c r="E10" s="36" t="inlineStr">
        <is>
          <t>Coarse 65%</t>
        </is>
      </c>
      <c r="F10" s="36" t="inlineStr">
        <is>
          <t>48</t>
        </is>
      </c>
      <c r="G10" s="34" t="inlineStr">
        <is>
          <t>592×592×48</t>
        </is>
      </c>
      <c r="H10" s="37" t="n">
        <v>9</v>
      </c>
      <c r="I10" s="37" t="n">
        <v>17</v>
      </c>
      <c r="J10" s="37" t="n">
        <v>27</v>
      </c>
      <c r="K10" s="37" t="n">
        <v>38</v>
      </c>
      <c r="L10" s="37" t="n">
        <v>52</v>
      </c>
      <c r="M10" s="37" t="n">
        <v>66</v>
      </c>
      <c r="N10" s="37" t="n">
        <v>83</v>
      </c>
      <c r="O10" s="38">
        <f>IFERROR(IF(COUNT($H10:$N10)=7,INDEX(LINEST($H10:$N10,$H$6:$N$6^{1;2}),1,1),""),"")</f>
        <v/>
      </c>
      <c r="P10" s="38">
        <f>IFERROR(IF(COUNT($H10:$N10)=7,INDEX(LINEST($H10:$N10,$H$6:$N$6^{1;2}),1,2),""),"")</f>
        <v/>
      </c>
      <c r="Q10" s="38">
        <f>IFERROR(IF(COUNT($H10:$N10)=7,INDEX(LINEST($H10:$N10,$H$6:$N$6^{1;2}),1,3),""),"")</f>
        <v/>
      </c>
      <c r="R10" s="39">
        <f>IFERROR(IF(COUNT($H10:$N10)=7,INDEX(LINEST($H10:$N10,$H$6:$N$6^{1;2},TRUE(),TRUE()),3,1),""),"")</f>
        <v/>
      </c>
      <c r="S10" s="40">
        <f>IF(O10="","",TEXT(O10,"0.00")&amp;"·v² "&amp;IF(P10&gt;=0,"+ ","− ")&amp;TEXT(ABS(P10),"0.00")&amp;"·v "&amp;IF(Q10&gt;=0,"+ ","− ")&amp;TEXT(ABS(Q10),"0.00"))</f>
        <v/>
      </c>
      <c r="T10" s="41">
        <f>COUNT($H10:$N10)</f>
        <v/>
      </c>
      <c r="U10" s="41">
        <f>IFERROR(IF(O10="","",O10*($H$3/3600/$C$3)^2+P10*($H$3/3600/$C$3)+Q10),"")</f>
        <v/>
      </c>
      <c r="V10" s="36" t="inlineStr">
        <is>
          <t>R&amp;D Titanair</t>
        </is>
      </c>
    </row>
    <row r="11" ht="15" customHeight="1" s="22">
      <c r="A11" s="33" t="inlineStr">
        <is>
          <t>FT-NETPLY</t>
        </is>
      </c>
      <c r="B11" s="34" t="inlineStr">
        <is>
          <t>Préfiltres</t>
        </is>
      </c>
      <c r="C11" s="35" t="inlineStr">
        <is>
          <t>NETPLY</t>
        </is>
      </c>
      <c r="D11" s="36" t="inlineStr">
        <is>
          <t>G4</t>
        </is>
      </c>
      <c r="E11" s="36" t="inlineStr">
        <is>
          <t>Coarse 65%</t>
        </is>
      </c>
      <c r="F11" s="36" t="inlineStr">
        <is>
          <t>98</t>
        </is>
      </c>
      <c r="G11" s="34" t="inlineStr">
        <is>
          <t>592×592×98</t>
        </is>
      </c>
      <c r="H11" s="37" t="n">
        <v>7</v>
      </c>
      <c r="I11" s="37" t="n">
        <v>15</v>
      </c>
      <c r="J11" s="37" t="n">
        <v>24</v>
      </c>
      <c r="K11" s="37" t="n">
        <v>35</v>
      </c>
      <c r="L11" s="37" t="n">
        <v>48</v>
      </c>
      <c r="M11" s="37" t="n">
        <v>63</v>
      </c>
      <c r="N11" s="37" t="n">
        <v>79</v>
      </c>
      <c r="O11" s="38">
        <f>IFERROR(IF(COUNT($H11:$N11)=7,INDEX(LINEST($H11:$N11,$H$6:$N$6^{1;2}),1,1),""),"")</f>
        <v/>
      </c>
      <c r="P11" s="38">
        <f>IFERROR(IF(COUNT($H11:$N11)=7,INDEX(LINEST($H11:$N11,$H$6:$N$6^{1;2}),1,2),""),"")</f>
        <v/>
      </c>
      <c r="Q11" s="38">
        <f>IFERROR(IF(COUNT($H11:$N11)=7,INDEX(LINEST($H11:$N11,$H$6:$N$6^{1;2}),1,3),""),"")</f>
        <v/>
      </c>
      <c r="R11" s="39">
        <f>IFERROR(IF(COUNT($H11:$N11)=7,INDEX(LINEST($H11:$N11,$H$6:$N$6^{1;2},TRUE(),TRUE()),3,1),""),"")</f>
        <v/>
      </c>
      <c r="S11" s="40">
        <f>IF(O11="","",TEXT(O11,"0.00")&amp;"·v² "&amp;IF(P11&gt;=0,"+ ","− ")&amp;TEXT(ABS(P11),"0.00")&amp;"·v "&amp;IF(Q11&gt;=0,"+ ","− ")&amp;TEXT(ABS(Q11),"0.00"))</f>
        <v/>
      </c>
      <c r="T11" s="41">
        <f>COUNT($H11:$N11)</f>
        <v/>
      </c>
      <c r="U11" s="41">
        <f>IFERROR(IF(O11="","",O11*($H$3/3600/$C$3)^2+P11*($H$3/3600/$C$3)+Q11),"")</f>
        <v/>
      </c>
      <c r="V11" s="36" t="inlineStr">
        <is>
          <t>R&amp;D Titanair</t>
        </is>
      </c>
    </row>
    <row r="12" ht="15" customHeight="1" s="22">
      <c r="A12" s="33" t="inlineStr">
        <is>
          <t>FT-NETPLY</t>
        </is>
      </c>
      <c r="B12" s="34" t="inlineStr">
        <is>
          <t>Préfiltres</t>
        </is>
      </c>
      <c r="C12" s="35" t="inlineStr">
        <is>
          <t>NETPLY</t>
        </is>
      </c>
      <c r="D12" s="36" t="inlineStr">
        <is>
          <t>M5</t>
        </is>
      </c>
      <c r="E12" s="36" t="inlineStr">
        <is>
          <t>ePM10 50%</t>
        </is>
      </c>
      <c r="F12" s="36" t="inlineStr">
        <is>
          <t>48</t>
        </is>
      </c>
      <c r="G12" s="34" t="inlineStr">
        <is>
          <t>592×592×48</t>
        </is>
      </c>
      <c r="H12" s="37" t="n">
        <v>11</v>
      </c>
      <c r="I12" s="37" t="n">
        <v>20</v>
      </c>
      <c r="J12" s="37" t="n">
        <v>30</v>
      </c>
      <c r="K12" s="37" t="n">
        <v>42</v>
      </c>
      <c r="L12" s="37" t="n">
        <v>57</v>
      </c>
      <c r="M12" s="37" t="n">
        <v>73</v>
      </c>
      <c r="N12" s="37" t="n">
        <v>91</v>
      </c>
      <c r="O12" s="38">
        <f>IFERROR(IF(COUNT($H12:$N12)=7,INDEX(LINEST($H12:$N12,$H$6:$N$6^{1;2}),1,1),""),"")</f>
        <v/>
      </c>
      <c r="P12" s="38">
        <f>IFERROR(IF(COUNT($H12:$N12)=7,INDEX(LINEST($H12:$N12,$H$6:$N$6^{1;2}),1,2),""),"")</f>
        <v/>
      </c>
      <c r="Q12" s="38">
        <f>IFERROR(IF(COUNT($H12:$N12)=7,INDEX(LINEST($H12:$N12,$H$6:$N$6^{1;2}),1,3),""),"")</f>
        <v/>
      </c>
      <c r="R12" s="39">
        <f>IFERROR(IF(COUNT($H12:$N12)=7,INDEX(LINEST($H12:$N12,$H$6:$N$6^{1;2},TRUE(),TRUE()),3,1),""),"")</f>
        <v/>
      </c>
      <c r="S12" s="40">
        <f>IF(O12="","",TEXT(O12,"0.00")&amp;"·v² "&amp;IF(P12&gt;=0,"+ ","− ")&amp;TEXT(ABS(P12),"0.00")&amp;"·v "&amp;IF(Q12&gt;=0,"+ ","− ")&amp;TEXT(ABS(Q12),"0.00"))</f>
        <v/>
      </c>
      <c r="T12" s="41">
        <f>COUNT($H12:$N12)</f>
        <v/>
      </c>
      <c r="U12" s="41">
        <f>IFERROR(IF(O12="","",O12*($H$3/3600/$C$3)^2+P12*($H$3/3600/$C$3)+Q12),"")</f>
        <v/>
      </c>
      <c r="V12" s="36" t="inlineStr">
        <is>
          <t>R&amp;D Titanair</t>
        </is>
      </c>
    </row>
    <row r="13" ht="15" customHeight="1" s="22">
      <c r="A13" s="33" t="inlineStr">
        <is>
          <t>FT-NETPLY</t>
        </is>
      </c>
      <c r="B13" s="34" t="inlineStr">
        <is>
          <t>Préfiltres</t>
        </is>
      </c>
      <c r="C13" s="35" t="inlineStr">
        <is>
          <t>NETPLY</t>
        </is>
      </c>
      <c r="D13" s="36" t="inlineStr">
        <is>
          <t>M5</t>
        </is>
      </c>
      <c r="E13" s="36" t="inlineStr">
        <is>
          <t>ePM10 50%</t>
        </is>
      </c>
      <c r="F13" s="36" t="inlineStr">
        <is>
          <t>98</t>
        </is>
      </c>
      <c r="G13" s="34" t="inlineStr">
        <is>
          <t>592×592×98</t>
        </is>
      </c>
      <c r="H13" s="37" t="n">
        <v>7</v>
      </c>
      <c r="I13" s="37" t="n">
        <v>15</v>
      </c>
      <c r="J13" s="37" t="n">
        <v>25</v>
      </c>
      <c r="K13" s="37" t="n">
        <v>36</v>
      </c>
      <c r="L13" s="37" t="n">
        <v>50</v>
      </c>
      <c r="M13" s="37" t="n">
        <v>66</v>
      </c>
      <c r="N13" s="37" t="n">
        <v>83</v>
      </c>
      <c r="O13" s="38">
        <f>IFERROR(IF(COUNT($H13:$N13)=7,INDEX(LINEST($H13:$N13,$H$6:$N$6^{1;2}),1,1),""),"")</f>
        <v/>
      </c>
      <c r="P13" s="38">
        <f>IFERROR(IF(COUNT($H13:$N13)=7,INDEX(LINEST($H13:$N13,$H$6:$N$6^{1;2}),1,2),""),"")</f>
        <v/>
      </c>
      <c r="Q13" s="38">
        <f>IFERROR(IF(COUNT($H13:$N13)=7,INDEX(LINEST($H13:$N13,$H$6:$N$6^{1;2}),1,3),""),"")</f>
        <v/>
      </c>
      <c r="R13" s="39">
        <f>IFERROR(IF(COUNT($H13:$N13)=7,INDEX(LINEST($H13:$N13,$H$6:$N$6^{1;2},TRUE(),TRUE()),3,1),""),"")</f>
        <v/>
      </c>
      <c r="S13" s="40">
        <f>IF(O13="","",TEXT(O13,"0.00")&amp;"·v² "&amp;IF(P13&gt;=0,"+ ","− ")&amp;TEXT(ABS(P13),"0.00")&amp;"·v "&amp;IF(Q13&gt;=0,"+ ","− ")&amp;TEXT(ABS(Q13),"0.00"))</f>
        <v/>
      </c>
      <c r="T13" s="41">
        <f>COUNT($H13:$N13)</f>
        <v/>
      </c>
      <c r="U13" s="41">
        <f>IFERROR(IF(O13="","",O13*($H$3/3600/$C$3)^2+P13*($H$3/3600/$C$3)+Q13),"")</f>
        <v/>
      </c>
      <c r="V13" s="36" t="inlineStr">
        <is>
          <t>R&amp;D Titanair</t>
        </is>
      </c>
    </row>
    <row r="14" ht="15" customHeight="1" s="22">
      <c r="A14" s="33" t="inlineStr">
        <is>
          <t>FT-NETPLAN</t>
        </is>
      </c>
      <c r="B14" s="34" t="inlineStr">
        <is>
          <t>Préfiltres</t>
        </is>
      </c>
      <c r="C14" s="35" t="inlineStr">
        <is>
          <t>NETPLAN</t>
        </is>
      </c>
      <c r="D14" s="36" t="inlineStr">
        <is>
          <t>G4</t>
        </is>
      </c>
      <c r="E14" s="36" t="inlineStr">
        <is>
          <t>Coarse 65%</t>
        </is>
      </c>
      <c r="F14" s="36" t="n">
        <v>25</v>
      </c>
      <c r="G14" s="34" t="inlineStr">
        <is>
          <t>592×592×25</t>
        </is>
      </c>
      <c r="H14" s="37" t="n">
        <v>18</v>
      </c>
      <c r="I14" s="37" t="n">
        <v>30</v>
      </c>
      <c r="J14" s="37" t="n">
        <v>46</v>
      </c>
      <c r="K14" s="37" t="n">
        <v>67</v>
      </c>
      <c r="L14" s="37" t="n">
        <v>91</v>
      </c>
      <c r="M14" s="37" t="n">
        <v>121</v>
      </c>
      <c r="N14" s="37" t="n">
        <v>154</v>
      </c>
      <c r="O14" s="38">
        <f>IFERROR(IF(COUNT($H14:$N14)=7,INDEX(LINEST($H14:$N14,$H$6:$N$6^{1;2}),1,1),""),"")</f>
        <v/>
      </c>
      <c r="P14" s="38">
        <f>IFERROR(IF(COUNT($H14:$N14)=7,INDEX(LINEST($H14:$N14,$H$6:$N$6^{1;2}),1,2),""),"")</f>
        <v/>
      </c>
      <c r="Q14" s="38">
        <f>IFERROR(IF(COUNT($H14:$N14)=7,INDEX(LINEST($H14:$N14,$H$6:$N$6^{1;2}),1,3),""),"")</f>
        <v/>
      </c>
      <c r="R14" s="39">
        <f>IFERROR(IF(COUNT($H14:$N14)=7,INDEX(LINEST($H14:$N14,$H$6:$N$6^{1;2},TRUE(),TRUE()),3,1),""),"")</f>
        <v/>
      </c>
      <c r="S14" s="40">
        <f>IF(O14="","",TEXT(O14,"0.00")&amp;"·v² "&amp;IF(P14&gt;=0,"+ ","− ")&amp;TEXT(ABS(P14),"0.00")&amp;"·v "&amp;IF(Q14&gt;=0,"+ ","− ")&amp;TEXT(ABS(Q14),"0.00"))</f>
        <v/>
      </c>
      <c r="T14" s="41">
        <f>COUNT($H14:$N14)</f>
        <v/>
      </c>
      <c r="U14" s="41">
        <f>IFERROR(IF(O14="","",O14*($H$3/3600/$C$3)^2+P14*($H$3/3600/$C$3)+Q14),"")</f>
        <v/>
      </c>
      <c r="V14" s="36" t="inlineStr">
        <is>
          <t>Fit courbe fiche 2018 (mesuré ≤2 m/s) — extrapolé &gt;2 m/s, à confirmer</t>
        </is>
      </c>
    </row>
    <row r="15" ht="15" customHeight="1" s="22">
      <c r="A15" s="33" t="inlineStr">
        <is>
          <t>FT-NETBAG-S</t>
        </is>
      </c>
      <c r="B15" s="34" t="inlineStr">
        <is>
          <t>Poches souples</t>
        </is>
      </c>
      <c r="C15" s="35" t="inlineStr">
        <is>
          <t>NETBAG S</t>
        </is>
      </c>
      <c r="D15" s="36" t="inlineStr">
        <is>
          <t>G4 → F9</t>
        </is>
      </c>
      <c r="E15" s="36" t="inlineStr">
        <is>
          <t>ePM10 → ePM1</t>
        </is>
      </c>
      <c r="F15" s="36" t="n"/>
      <c r="G15" s="34" t="inlineStr">
        <is>
          <t>592×592×380</t>
        </is>
      </c>
      <c r="H15" s="37" t="n"/>
      <c r="I15" s="37" t="n"/>
      <c r="J15" s="37" t="n"/>
      <c r="K15" s="37" t="n"/>
      <c r="L15" s="37" t="n"/>
      <c r="M15" s="37" t="n"/>
      <c r="N15" s="37" t="n"/>
      <c r="O15" s="38">
        <f>IFERROR(IF(COUNT($H15:$N15)=7,INDEX(LINEST($H15:$N15,$H$6:$N$6^{1;2}),1,1),""),"")</f>
        <v/>
      </c>
      <c r="P15" s="38">
        <f>IFERROR(IF(COUNT($H15:$N15)=7,INDEX(LINEST($H15:$N15,$H$6:$N$6^{1;2}),1,2),""),"")</f>
        <v/>
      </c>
      <c r="Q15" s="38">
        <f>IFERROR(IF(COUNT($H15:$N15)=7,INDEX(LINEST($H15:$N15,$H$6:$N$6^{1;2}),1,3),""),"")</f>
        <v/>
      </c>
      <c r="R15" s="39">
        <f>IFERROR(IF(COUNT($H15:$N15)=7,INDEX(LINEST($H15:$N15,$H$6:$N$6^{1;2},TRUE(),TRUE()),3,1),""),"")</f>
        <v/>
      </c>
      <c r="S15" s="40">
        <f>IF(O15="","",TEXT(O15,"0.00")&amp;"·v² "&amp;IF(P15&gt;=0,"+ ","− ")&amp;TEXT(ABS(P15),"0.00")&amp;"·v "&amp;IF(Q15&gt;=0,"+ ","− ")&amp;TEXT(ABS(Q15),"0.00"))</f>
        <v/>
      </c>
      <c r="T15" s="41">
        <f>COUNT($H15:$N15)</f>
        <v/>
      </c>
      <c r="U15" s="41">
        <f>IFERROR(IF(O15="","",O15*($H$3/3600/$C$3)^2+P15*($H$3/3600/$C$3)+Q15),"")</f>
        <v/>
      </c>
      <c r="V15" s="36" t="n"/>
    </row>
    <row r="16" ht="20.25" customHeight="1" s="22">
      <c r="A16" s="33" t="inlineStr">
        <is>
          <t>FT-NETPAK-S-BORA</t>
        </is>
      </c>
      <c r="B16" s="34" t="inlineStr">
        <is>
          <t>Compacts / poches rigides</t>
        </is>
      </c>
      <c r="C16" s="35" t="inlineStr">
        <is>
          <t>NETPAK S BORA</t>
        </is>
      </c>
      <c r="D16" s="36" t="inlineStr">
        <is>
          <t>M5 → F9</t>
        </is>
      </c>
      <c r="E16" s="36" t="inlineStr">
        <is>
          <t>ePM10 → ePM1</t>
        </is>
      </c>
      <c r="F16" s="36" t="n"/>
      <c r="G16" s="34" t="inlineStr">
        <is>
          <t>592×592×292</t>
        </is>
      </c>
      <c r="H16" s="37" t="n"/>
      <c r="I16" s="37" t="n"/>
      <c r="J16" s="37" t="n"/>
      <c r="K16" s="37" t="n"/>
      <c r="L16" s="37" t="n"/>
      <c r="M16" s="37" t="n"/>
      <c r="N16" s="37" t="n"/>
      <c r="O16" s="38">
        <f>IFERROR(IF(COUNT($H16:$N16)=7,INDEX(LINEST($H16:$N16,$H$6:$N$6^{1;2}),1,1),""),"")</f>
        <v/>
      </c>
      <c r="P16" s="38">
        <f>IFERROR(IF(COUNT($H16:$N16)=7,INDEX(LINEST($H16:$N16,$H$6:$N$6^{1;2}),1,2),""),"")</f>
        <v/>
      </c>
      <c r="Q16" s="38">
        <f>IFERROR(IF(COUNT($H16:$N16)=7,INDEX(LINEST($H16:$N16,$H$6:$N$6^{1;2}),1,3),""),"")</f>
        <v/>
      </c>
      <c r="R16" s="39">
        <f>IFERROR(IF(COUNT($H16:$N16)=7,INDEX(LINEST($H16:$N16,$H$6:$N$6^{1;2},TRUE(),TRUE()),3,1),""),"")</f>
        <v/>
      </c>
      <c r="S16" s="40">
        <f>IF(O16="","",TEXT(O16,"0.00")&amp;"·v² "&amp;IF(P16&gt;=0,"+ ","− ")&amp;TEXT(ABS(P16),"0.00")&amp;"·v "&amp;IF(Q16&gt;=0,"+ ","− ")&amp;TEXT(ABS(Q16),"0.00"))</f>
        <v/>
      </c>
      <c r="T16" s="41">
        <f>COUNT($H16:$N16)</f>
        <v/>
      </c>
      <c r="U16" s="41">
        <f>IFERROR(IF(O16="","",O16*($H$3/3600/$C$3)^2+P16*($H$3/3600/$C$3)+Q16),"")</f>
        <v/>
      </c>
      <c r="V16" s="36" t="n"/>
    </row>
    <row r="17" ht="20.25" customHeight="1" s="22">
      <c r="A17" s="33" t="inlineStr">
        <is>
          <t>FT-NETPAK-S-CILIA</t>
        </is>
      </c>
      <c r="B17" s="34" t="inlineStr">
        <is>
          <t>Compacts / poches rigides</t>
        </is>
      </c>
      <c r="C17" s="35" t="inlineStr">
        <is>
          <t>NETPAK S CILIA</t>
        </is>
      </c>
      <c r="D17" s="36" t="inlineStr">
        <is>
          <t>M5 → F9</t>
        </is>
      </c>
      <c r="E17" s="36" t="inlineStr">
        <is>
          <t>ePM1 55% → 70%</t>
        </is>
      </c>
      <c r="F17" s="36" t="n"/>
      <c r="G17" s="34" t="inlineStr">
        <is>
          <t>592×592×__</t>
        </is>
      </c>
      <c r="H17" s="37" t="n"/>
      <c r="I17" s="37" t="n"/>
      <c r="J17" s="37" t="n"/>
      <c r="K17" s="37" t="n"/>
      <c r="L17" s="37" t="n"/>
      <c r="M17" s="37" t="n"/>
      <c r="N17" s="37" t="n"/>
      <c r="O17" s="38">
        <f>IFERROR(IF(COUNT($H17:$N17)=7,INDEX(LINEST($H17:$N17,$H$6:$N$6^{1;2}),1,1),""),"")</f>
        <v/>
      </c>
      <c r="P17" s="38">
        <f>IFERROR(IF(COUNT($H17:$N17)=7,INDEX(LINEST($H17:$N17,$H$6:$N$6^{1;2}),1,2),""),"")</f>
        <v/>
      </c>
      <c r="Q17" s="38">
        <f>IFERROR(IF(COUNT($H17:$N17)=7,INDEX(LINEST($H17:$N17,$H$6:$N$6^{1;2}),1,3),""),"")</f>
        <v/>
      </c>
      <c r="R17" s="39">
        <f>IFERROR(IF(COUNT($H17:$N17)=7,INDEX(LINEST($H17:$N17,$H$6:$N$6^{1;2},TRUE(),TRUE()),3,1),""),"")</f>
        <v/>
      </c>
      <c r="S17" s="40">
        <f>IF(O17="","",TEXT(O17,"0.00")&amp;"·v² "&amp;IF(P17&gt;=0,"+ ","− ")&amp;TEXT(ABS(P17),"0.00")&amp;"·v "&amp;IF(Q17&gt;=0,"+ ","− ")&amp;TEXT(ABS(Q17),"0.00"))</f>
        <v/>
      </c>
      <c r="T17" s="41">
        <f>COUNT($H17:$N17)</f>
        <v/>
      </c>
      <c r="U17" s="41">
        <f>IFERROR(IF(O17="","",O17*($H$3/3600/$C$3)^2+P17*($H$3/3600/$C$3)+Q17),"")</f>
        <v/>
      </c>
      <c r="V17" s="36" t="n"/>
    </row>
    <row r="18" ht="20.25" customHeight="1" s="22">
      <c r="A18" s="33" t="inlineStr">
        <is>
          <t>FT-NETPAK-S-AZUR</t>
        </is>
      </c>
      <c r="B18" s="34" t="inlineStr">
        <is>
          <t>Compacts / poches rigides</t>
        </is>
      </c>
      <c r="C18" s="35" t="inlineStr">
        <is>
          <t>NETPAK S AZUR</t>
        </is>
      </c>
      <c r="D18" s="36" t="inlineStr">
        <is>
          <t>M5 → F9</t>
        </is>
      </c>
      <c r="E18" s="36" t="inlineStr">
        <is>
          <t>ePM10 → ePM1</t>
        </is>
      </c>
      <c r="F18" s="36" t="n"/>
      <c r="G18" s="34" t="inlineStr">
        <is>
          <t>592×592×292</t>
        </is>
      </c>
      <c r="H18" s="37" t="n"/>
      <c r="I18" s="37" t="n"/>
      <c r="J18" s="37" t="n"/>
      <c r="K18" s="37" t="n"/>
      <c r="L18" s="37" t="n"/>
      <c r="M18" s="37" t="n"/>
      <c r="N18" s="37" t="n"/>
      <c r="O18" s="38">
        <f>IFERROR(IF(COUNT($H18:$N18)=7,INDEX(LINEST($H18:$N18,$H$6:$N$6^{1;2}),1,1),""),"")</f>
        <v/>
      </c>
      <c r="P18" s="38">
        <f>IFERROR(IF(COUNT($H18:$N18)=7,INDEX(LINEST($H18:$N18,$H$6:$N$6^{1;2}),1,2),""),"")</f>
        <v/>
      </c>
      <c r="Q18" s="38">
        <f>IFERROR(IF(COUNT($H18:$N18)=7,INDEX(LINEST($H18:$N18,$H$6:$N$6^{1;2}),1,3),""),"")</f>
        <v/>
      </c>
      <c r="R18" s="39">
        <f>IFERROR(IF(COUNT($H18:$N18)=7,INDEX(LINEST($H18:$N18,$H$6:$N$6^{1;2},TRUE(),TRUE()),3,1),""),"")</f>
        <v/>
      </c>
      <c r="S18" s="40">
        <f>IF(O18="","",TEXT(O18,"0.00")&amp;"·v² "&amp;IF(P18&gt;=0,"+ ","− ")&amp;TEXT(ABS(P18),"0.00")&amp;"·v "&amp;IF(Q18&gt;=0,"+ ","− ")&amp;TEXT(ABS(Q18),"0.00"))</f>
        <v/>
      </c>
      <c r="T18" s="41">
        <f>COUNT($H18:$N18)</f>
        <v/>
      </c>
      <c r="U18" s="41">
        <f>IFERROR(IF(O18="","",O18*($H$3/3600/$C$3)^2+P18*($H$3/3600/$C$3)+Q18),"")</f>
        <v/>
      </c>
      <c r="V18" s="36" t="n"/>
    </row>
    <row r="19" ht="20.25" customHeight="1" s="22">
      <c r="A19" s="33" t="inlineStr">
        <is>
          <t>FT-NETPAK-S-LUMEN</t>
        </is>
      </c>
      <c r="B19" s="34" t="inlineStr">
        <is>
          <t>Compacts / poches rigides</t>
        </is>
      </c>
      <c r="C19" s="35" t="inlineStr">
        <is>
          <t>NETPAK S LUMEN</t>
        </is>
      </c>
      <c r="D19" s="36" t="inlineStr">
        <is>
          <t>M5 → F9</t>
        </is>
      </c>
      <c r="E19" s="36" t="inlineStr">
        <is>
          <t>ePM10 → ePM1</t>
        </is>
      </c>
      <c r="F19" s="36" t="n"/>
      <c r="G19" s="34" t="inlineStr">
        <is>
          <t>592×592×292</t>
        </is>
      </c>
      <c r="H19" s="37" t="n"/>
      <c r="I19" s="37" t="n"/>
      <c r="J19" s="37" t="n"/>
      <c r="K19" s="37" t="n"/>
      <c r="L19" s="37" t="n"/>
      <c r="M19" s="37" t="n"/>
      <c r="N19" s="37" t="n"/>
      <c r="O19" s="38">
        <f>IFERROR(IF(COUNT($H19:$N19)=7,INDEX(LINEST($H19:$N19,$H$6:$N$6^{1;2}),1,1),""),"")</f>
        <v/>
      </c>
      <c r="P19" s="38">
        <f>IFERROR(IF(COUNT($H19:$N19)=7,INDEX(LINEST($H19:$N19,$H$6:$N$6^{1;2}),1,2),""),"")</f>
        <v/>
      </c>
      <c r="Q19" s="38">
        <f>IFERROR(IF(COUNT($H19:$N19)=7,INDEX(LINEST($H19:$N19,$H$6:$N$6^{1;2}),1,3),""),"")</f>
        <v/>
      </c>
      <c r="R19" s="39">
        <f>IFERROR(IF(COUNT($H19:$N19)=7,INDEX(LINEST($H19:$N19,$H$6:$N$6^{1;2},TRUE(),TRUE()),3,1),""),"")</f>
        <v/>
      </c>
      <c r="S19" s="40">
        <f>IF(O19="","",TEXT(O19,"0.00")&amp;"·v² "&amp;IF(P19&gt;=0,"+ ","− ")&amp;TEXT(ABS(P19),"0.00")&amp;"·v "&amp;IF(Q19&gt;=0,"+ ","− ")&amp;TEXT(ABS(Q19),"0.00"))</f>
        <v/>
      </c>
      <c r="T19" s="41">
        <f>COUNT($H19:$N19)</f>
        <v/>
      </c>
      <c r="U19" s="41">
        <f>IFERROR(IF(O19="","",O19*($H$3/3600/$C$3)^2+P19*($H$3/3600/$C$3)+Q19),"")</f>
        <v/>
      </c>
      <c r="V19" s="36" t="n"/>
    </row>
    <row r="20" ht="15" customHeight="1" s="22">
      <c r="A20" s="33" t="inlineStr">
        <is>
          <t>FT-NETCEL-V-AZUR</t>
        </is>
      </c>
      <c r="B20" s="34" t="inlineStr">
        <is>
          <t>HEPA / T.H.E</t>
        </is>
      </c>
      <c r="C20" s="35" t="inlineStr">
        <is>
          <t>NETCEL V AZUR</t>
        </is>
      </c>
      <c r="D20" s="36" t="inlineStr">
        <is>
          <t>E10 / H13</t>
        </is>
      </c>
      <c r="E20" s="36" t="inlineStr">
        <is>
          <t>ISO 50 U / 35 H</t>
        </is>
      </c>
      <c r="F20" s="36" t="n"/>
      <c r="G20" s="34" t="inlineStr">
        <is>
          <t>592×592×292</t>
        </is>
      </c>
      <c r="H20" s="37" t="n"/>
      <c r="I20" s="37" t="n"/>
      <c r="J20" s="37" t="n"/>
      <c r="K20" s="37" t="n"/>
      <c r="L20" s="37" t="n"/>
      <c r="M20" s="37" t="n"/>
      <c r="N20" s="37" t="n"/>
      <c r="O20" s="38">
        <f>IFERROR(IF(COUNT($H20:$N20)=7,INDEX(LINEST($H20:$N20,$H$6:$N$6^{1;2}),1,1),""),"")</f>
        <v/>
      </c>
      <c r="P20" s="38">
        <f>IFERROR(IF(COUNT($H20:$N20)=7,INDEX(LINEST($H20:$N20,$H$6:$N$6^{1;2}),1,2),""),"")</f>
        <v/>
      </c>
      <c r="Q20" s="38">
        <f>IFERROR(IF(COUNT($H20:$N20)=7,INDEX(LINEST($H20:$N20,$H$6:$N$6^{1;2}),1,3),""),"")</f>
        <v/>
      </c>
      <c r="R20" s="39">
        <f>IFERROR(IF(COUNT($H20:$N20)=7,INDEX(LINEST($H20:$N20,$H$6:$N$6^{1;2},TRUE(),TRUE()),3,1),""),"")</f>
        <v/>
      </c>
      <c r="S20" s="40">
        <f>IF(O20="","",TEXT(O20,"0.00")&amp;"·v² "&amp;IF(P20&gt;=0,"+ ","− ")&amp;TEXT(ABS(P20),"0.00")&amp;"·v "&amp;IF(Q20&gt;=0,"+ ","− ")&amp;TEXT(ABS(Q20),"0.00"))</f>
        <v/>
      </c>
      <c r="T20" s="41">
        <f>COUNT($H20:$N20)</f>
        <v/>
      </c>
      <c r="U20" s="41">
        <f>IFERROR(IF(O20="","",O20*($H$3/3600/$C$3)^2+P20*($H$3/3600/$C$3)+Q20),"")</f>
        <v/>
      </c>
      <c r="V20" s="36" t="n"/>
    </row>
    <row r="21" ht="15" customHeight="1" s="22">
      <c r="A21" s="33" t="inlineStr">
        <is>
          <t>FT-NETCEL-V-NIVAL</t>
        </is>
      </c>
      <c r="B21" s="34" t="inlineStr">
        <is>
          <t>HEPA / T.H.E</t>
        </is>
      </c>
      <c r="C21" s="35" t="inlineStr">
        <is>
          <t>NETCEL V NIVAL</t>
        </is>
      </c>
      <c r="D21" s="36" t="inlineStr">
        <is>
          <t>E10 → H14</t>
        </is>
      </c>
      <c r="E21" s="36" t="inlineStr">
        <is>
          <t>ISO 35 H</t>
        </is>
      </c>
      <c r="F21" s="36" t="n"/>
      <c r="G21" s="34" t="inlineStr">
        <is>
          <t>592×592×292</t>
        </is>
      </c>
      <c r="H21" s="37" t="n"/>
      <c r="I21" s="37" t="n"/>
      <c r="J21" s="37" t="n"/>
      <c r="K21" s="37" t="n"/>
      <c r="L21" s="37" t="n"/>
      <c r="M21" s="37" t="n"/>
      <c r="N21" s="37" t="n"/>
      <c r="O21" s="38">
        <f>IFERROR(IF(COUNT($H21:$N21)=7,INDEX(LINEST($H21:$N21,$H$6:$N$6^{1;2}),1,1),""),"")</f>
        <v/>
      </c>
      <c r="P21" s="38">
        <f>IFERROR(IF(COUNT($H21:$N21)=7,INDEX(LINEST($H21:$N21,$H$6:$N$6^{1;2}),1,2),""),"")</f>
        <v/>
      </c>
      <c r="Q21" s="38">
        <f>IFERROR(IF(COUNT($H21:$N21)=7,INDEX(LINEST($H21:$N21,$H$6:$N$6^{1;2}),1,3),""),"")</f>
        <v/>
      </c>
      <c r="R21" s="39">
        <f>IFERROR(IF(COUNT($H21:$N21)=7,INDEX(LINEST($H21:$N21,$H$6:$N$6^{1;2},TRUE(),TRUE()),3,1),""),"")</f>
        <v/>
      </c>
      <c r="S21" s="40">
        <f>IF(O21="","",TEXT(O21,"0.00")&amp;"·v² "&amp;IF(P21&gt;=0,"+ ","− ")&amp;TEXT(ABS(P21),"0.00")&amp;"·v "&amp;IF(Q21&gt;=0,"+ ","− ")&amp;TEXT(ABS(Q21),"0.00"))</f>
        <v/>
      </c>
      <c r="T21" s="41">
        <f>COUNT($H21:$N21)</f>
        <v/>
      </c>
      <c r="U21" s="41">
        <f>IFERROR(IF(O21="","",O21*($H$3/3600/$C$3)^2+P21*($H$3/3600/$C$3)+Q21),"")</f>
        <v/>
      </c>
      <c r="V21" s="36" t="n"/>
    </row>
    <row r="22" ht="15" customHeight="1" s="22">
      <c r="A22" s="33" t="inlineStr">
        <is>
          <t>FT-NETPAK-V-LAM</t>
        </is>
      </c>
      <c r="B22" s="34" t="inlineStr">
        <is>
          <t>HEPA / T.H.E</t>
        </is>
      </c>
      <c r="C22" s="35" t="inlineStr">
        <is>
          <t>NETPAK V LAM</t>
        </is>
      </c>
      <c r="D22" s="36" t="inlineStr">
        <is>
          <t>H14</t>
        </is>
      </c>
      <c r="E22" s="36" t="inlineStr">
        <is>
          <t>ISO 15 U</t>
        </is>
      </c>
      <c r="F22" s="36" t="n"/>
      <c r="G22" s="34" t="inlineStr">
        <is>
          <t>610×610×__</t>
        </is>
      </c>
      <c r="H22" s="37" t="n"/>
      <c r="I22" s="37" t="n"/>
      <c r="J22" s="37" t="n"/>
      <c r="K22" s="37" t="n"/>
      <c r="L22" s="37" t="n"/>
      <c r="M22" s="37" t="n"/>
      <c r="N22" s="37" t="n"/>
      <c r="O22" s="38">
        <f>IFERROR(IF(COUNT($H22:$N22)=7,INDEX(LINEST($H22:$N22,$H$6:$N$6^{1;2}),1,1),""),"")</f>
        <v/>
      </c>
      <c r="P22" s="38">
        <f>IFERROR(IF(COUNT($H22:$N22)=7,INDEX(LINEST($H22:$N22,$H$6:$N$6^{1;2}),1,2),""),"")</f>
        <v/>
      </c>
      <c r="Q22" s="38">
        <f>IFERROR(IF(COUNT($H22:$N22)=7,INDEX(LINEST($H22:$N22,$H$6:$N$6^{1;2}),1,3),""),"")</f>
        <v/>
      </c>
      <c r="R22" s="39">
        <f>IFERROR(IF(COUNT($H22:$N22)=7,INDEX(LINEST($H22:$N22,$H$6:$N$6^{1;2},TRUE(),TRUE()),3,1),""),"")</f>
        <v/>
      </c>
      <c r="S22" s="40">
        <f>IF(O22="","",TEXT(O22,"0.00")&amp;"·v² "&amp;IF(P22&gt;=0,"+ ","− ")&amp;TEXT(ABS(P22),"0.00")&amp;"·v "&amp;IF(Q22&gt;=0,"+ ","− ")&amp;TEXT(ABS(Q22),"0.00"))</f>
        <v/>
      </c>
      <c r="T22" s="41">
        <f>COUNT($H22:$N22)</f>
        <v/>
      </c>
      <c r="U22" s="41">
        <f>IFERROR(IF(O22="","",O22*($H$3/3600/$C$3)^2+P22*($H$3/3600/$C$3)+Q22),"")</f>
        <v/>
      </c>
      <c r="V22" s="36" t="n"/>
    </row>
    <row r="23" ht="15" customHeight="1" s="22">
      <c r="A23" s="33" t="inlineStr">
        <is>
          <t>FT-NETCARB-CILIA</t>
        </is>
      </c>
      <c r="B23" s="34" t="inlineStr">
        <is>
          <t>Charbon actif</t>
        </is>
      </c>
      <c r="C23" s="35" t="inlineStr">
        <is>
          <t>NETCARB CILIA</t>
        </is>
      </c>
      <c r="D23" s="36" t="inlineStr">
        <is>
          <t>—</t>
        </is>
      </c>
      <c r="E23" s="36" t="inlineStr">
        <is>
          <t>Moléculaire</t>
        </is>
      </c>
      <c r="F23" s="36" t="n"/>
      <c r="G23" s="34" t="inlineStr">
        <is>
          <t>592×592×48</t>
        </is>
      </c>
      <c r="H23" s="37" t="n"/>
      <c r="I23" s="37" t="n"/>
      <c r="J23" s="37" t="n"/>
      <c r="K23" s="37" t="n"/>
      <c r="L23" s="37" t="n"/>
      <c r="M23" s="37" t="n"/>
      <c r="N23" s="37" t="n"/>
      <c r="O23" s="38">
        <f>IFERROR(IF(COUNT($H23:$N23)=7,INDEX(LINEST($H23:$N23,$H$6:$N$6^{1;2}),1,1),""),"")</f>
        <v/>
      </c>
      <c r="P23" s="38">
        <f>IFERROR(IF(COUNT($H23:$N23)=7,INDEX(LINEST($H23:$N23,$H$6:$N$6^{1;2}),1,2),""),"")</f>
        <v/>
      </c>
      <c r="Q23" s="38">
        <f>IFERROR(IF(COUNT($H23:$N23)=7,INDEX(LINEST($H23:$N23,$H$6:$N$6^{1;2}),1,3),""),"")</f>
        <v/>
      </c>
      <c r="R23" s="39">
        <f>IFERROR(IF(COUNT($H23:$N23)=7,INDEX(LINEST($H23:$N23,$H$6:$N$6^{1;2},TRUE(),TRUE()),3,1),""),"")</f>
        <v/>
      </c>
      <c r="S23" s="40">
        <f>IF(O23="","",TEXT(O23,"0.00")&amp;"·v² "&amp;IF(P23&gt;=0,"+ ","− ")&amp;TEXT(ABS(P23),"0.00")&amp;"·v "&amp;IF(Q23&gt;=0,"+ ","− ")&amp;TEXT(ABS(Q23),"0.00"))</f>
        <v/>
      </c>
      <c r="T23" s="41">
        <f>COUNT($H23:$N23)</f>
        <v/>
      </c>
      <c r="U23" s="41">
        <f>IFERROR(IF(O23="","",O23*($H$3/3600/$C$3)^2+P23*($H$3/3600/$C$3)+Q23),"")</f>
        <v/>
      </c>
      <c r="V23" s="36" t="n"/>
    </row>
    <row r="24" ht="15" customHeight="1" s="22">
      <c r="A24" s="33" t="inlineStr">
        <is>
          <t>FT-NETCARB-AZUR</t>
        </is>
      </c>
      <c r="B24" s="34" t="inlineStr">
        <is>
          <t>Charbon actif</t>
        </is>
      </c>
      <c r="C24" s="35" t="inlineStr">
        <is>
          <t>NETCARB AZUR</t>
        </is>
      </c>
      <c r="D24" s="36" t="inlineStr">
        <is>
          <t>—</t>
        </is>
      </c>
      <c r="E24" s="36" t="inlineStr">
        <is>
          <t>Moléculaire</t>
        </is>
      </c>
      <c r="F24" s="36" t="n"/>
      <c r="G24" s="34" t="inlineStr">
        <is>
          <t>592×592×292</t>
        </is>
      </c>
      <c r="H24" s="37" t="n"/>
      <c r="I24" s="37" t="n"/>
      <c r="J24" s="37" t="n"/>
      <c r="K24" s="37" t="n"/>
      <c r="L24" s="37" t="n"/>
      <c r="M24" s="37" t="n"/>
      <c r="N24" s="37" t="n"/>
      <c r="O24" s="38">
        <f>IFERROR(IF(COUNT($H24:$N24)=7,INDEX(LINEST($H24:$N24,$H$6:$N$6^{1;2}),1,1),""),"")</f>
        <v/>
      </c>
      <c r="P24" s="38">
        <f>IFERROR(IF(COUNT($H24:$N24)=7,INDEX(LINEST($H24:$N24,$H$6:$N$6^{1;2}),1,2),""),"")</f>
        <v/>
      </c>
      <c r="Q24" s="38">
        <f>IFERROR(IF(COUNT($H24:$N24)=7,INDEX(LINEST($H24:$N24,$H$6:$N$6^{1;2}),1,3),""),"")</f>
        <v/>
      </c>
      <c r="R24" s="39">
        <f>IFERROR(IF(COUNT($H24:$N24)=7,INDEX(LINEST($H24:$N24,$H$6:$N$6^{1;2},TRUE(),TRUE()),3,1),""),"")</f>
        <v/>
      </c>
      <c r="S24" s="40">
        <f>IF(O24="","",TEXT(O24,"0.00")&amp;"·v² "&amp;IF(P24&gt;=0,"+ ","− ")&amp;TEXT(ABS(P24),"0.00")&amp;"·v "&amp;IF(Q24&gt;=0,"+ ","− ")&amp;TEXT(ABS(Q24),"0.00"))</f>
        <v/>
      </c>
      <c r="T24" s="41">
        <f>COUNT($H24:$N24)</f>
        <v/>
      </c>
      <c r="U24" s="41">
        <f>IFERROR(IF(O24="","",O24*($H$3/3600/$C$3)^2+P24*($H$3/3600/$C$3)+Q24),"")</f>
        <v/>
      </c>
      <c r="V24" s="36" t="n"/>
    </row>
    <row r="25" ht="15" customHeight="1" s="22">
      <c r="A25" s="33" t="inlineStr">
        <is>
          <t>FT-NETCARB-NIVAL</t>
        </is>
      </c>
      <c r="B25" s="34" t="inlineStr">
        <is>
          <t>Charbon actif</t>
        </is>
      </c>
      <c r="C25" s="35" t="inlineStr">
        <is>
          <t>NETCARB NIVAL</t>
        </is>
      </c>
      <c r="D25" s="36" t="inlineStr">
        <is>
          <t>—</t>
        </is>
      </c>
      <c r="E25" s="36" t="inlineStr">
        <is>
          <t>Moléculaire</t>
        </is>
      </c>
      <c r="F25" s="36" t="n"/>
      <c r="G25" s="34" t="inlineStr">
        <is>
          <t>610×610×292</t>
        </is>
      </c>
      <c r="H25" s="37" t="n"/>
      <c r="I25" s="37" t="n"/>
      <c r="J25" s="37" t="n"/>
      <c r="K25" s="37" t="n"/>
      <c r="L25" s="37" t="n"/>
      <c r="M25" s="37" t="n"/>
      <c r="N25" s="37" t="n"/>
      <c r="O25" s="38">
        <f>IFERROR(IF(COUNT($H25:$N25)=7,INDEX(LINEST($H25:$N25,$H$6:$N$6^{1;2}),1,1),""),"")</f>
        <v/>
      </c>
      <c r="P25" s="38">
        <f>IFERROR(IF(COUNT($H25:$N25)=7,INDEX(LINEST($H25:$N25,$H$6:$N$6^{1;2}),1,2),""),"")</f>
        <v/>
      </c>
      <c r="Q25" s="38">
        <f>IFERROR(IF(COUNT($H25:$N25)=7,INDEX(LINEST($H25:$N25,$H$6:$N$6^{1;2}),1,3),""),"")</f>
        <v/>
      </c>
      <c r="R25" s="39">
        <f>IFERROR(IF(COUNT($H25:$N25)=7,INDEX(LINEST($H25:$N25,$H$6:$N$6^{1;2},TRUE(),TRUE()),3,1),""),"")</f>
        <v/>
      </c>
      <c r="S25" s="40">
        <f>IF(O25="","",TEXT(O25,"0.00")&amp;"·v² "&amp;IF(P25&gt;=0,"+ ","− ")&amp;TEXT(ABS(P25),"0.00")&amp;"·v "&amp;IF(Q25&gt;=0,"+ ","− ")&amp;TEXT(ABS(Q25),"0.00"))</f>
        <v/>
      </c>
      <c r="T25" s="41">
        <f>COUNT($H25:$N25)</f>
        <v/>
      </c>
      <c r="U25" s="41">
        <f>IFERROR(IF(O25="","",O25*($H$3/3600/$C$3)^2+P25*($H$3/3600/$C$3)+Q25),"")</f>
        <v/>
      </c>
      <c r="V25" s="36" t="n"/>
    </row>
    <row r="26" ht="15" customHeight="1" s="22">
      <c r="A26" s="33" t="inlineStr">
        <is>
          <t>FT-NETCARB-BAG</t>
        </is>
      </c>
      <c r="B26" s="34" t="inlineStr">
        <is>
          <t>Charbon actif</t>
        </is>
      </c>
      <c r="C26" s="35" t="inlineStr">
        <is>
          <t>NETCARB BAG</t>
        </is>
      </c>
      <c r="D26" s="36" t="inlineStr">
        <is>
          <t>—</t>
        </is>
      </c>
      <c r="E26" s="36" t="inlineStr">
        <is>
          <t>Moléculaire</t>
        </is>
      </c>
      <c r="F26" s="36" t="n"/>
      <c r="G26" s="34" t="inlineStr">
        <is>
          <t>592×592×380</t>
        </is>
      </c>
      <c r="H26" s="37" t="n"/>
      <c r="I26" s="37" t="n"/>
      <c r="J26" s="37" t="n"/>
      <c r="K26" s="37" t="n"/>
      <c r="L26" s="37" t="n"/>
      <c r="M26" s="37" t="n"/>
      <c r="N26" s="37" t="n"/>
      <c r="O26" s="38">
        <f>IFERROR(IF(COUNT($H26:$N26)=7,INDEX(LINEST($H26:$N26,$H$6:$N$6^{1;2}),1,1),""),"")</f>
        <v/>
      </c>
      <c r="P26" s="38">
        <f>IFERROR(IF(COUNT($H26:$N26)=7,INDEX(LINEST($H26:$N26,$H$6:$N$6^{1;2}),1,2),""),"")</f>
        <v/>
      </c>
      <c r="Q26" s="38">
        <f>IFERROR(IF(COUNT($H26:$N26)=7,INDEX(LINEST($H26:$N26,$H$6:$N$6^{1;2}),1,3),""),"")</f>
        <v/>
      </c>
      <c r="R26" s="39">
        <f>IFERROR(IF(COUNT($H26:$N26)=7,INDEX(LINEST($H26:$N26,$H$6:$N$6^{1;2},TRUE(),TRUE()),3,1),""),"")</f>
        <v/>
      </c>
      <c r="S26" s="40">
        <f>IF(O26="","",TEXT(O26,"0.00")&amp;"·v² "&amp;IF(P26&gt;=0,"+ ","− ")&amp;TEXT(ABS(P26),"0.00")&amp;"·v "&amp;IF(Q26&gt;=0,"+ ","− ")&amp;TEXT(ABS(Q26),"0.00"))</f>
        <v/>
      </c>
      <c r="T26" s="41">
        <f>COUNT($H26:$N26)</f>
        <v/>
      </c>
      <c r="U26" s="41">
        <f>IFERROR(IF(O26="","",O26*($H$3/3600/$C$3)^2+P26*($H$3/3600/$C$3)+Q26),"")</f>
        <v/>
      </c>
      <c r="V26" s="36" t="n"/>
    </row>
    <row r="27" ht="20.25" customHeight="1" s="22">
      <c r="A27" s="33" t="inlineStr">
        <is>
          <t>FT-NETPAK-S-DUO</t>
        </is>
      </c>
      <c r="B27" s="34" t="inlineStr">
        <is>
          <t>Combinés</t>
        </is>
      </c>
      <c r="C27" s="35" t="inlineStr">
        <is>
          <t>NETPAK S DUO</t>
        </is>
      </c>
      <c r="D27" s="36" t="inlineStr">
        <is>
          <t>F7 + CA</t>
        </is>
      </c>
      <c r="E27" s="36" t="inlineStr">
        <is>
          <t>ePM1 55% + Mol.</t>
        </is>
      </c>
      <c r="F27" s="36" t="n"/>
      <c r="G27" s="34" t="inlineStr">
        <is>
          <t>592×592×98</t>
        </is>
      </c>
      <c r="H27" s="37" t="n"/>
      <c r="I27" s="37" t="n"/>
      <c r="J27" s="37" t="n"/>
      <c r="K27" s="37" t="n"/>
      <c r="L27" s="37" t="n"/>
      <c r="M27" s="37" t="n"/>
      <c r="N27" s="37" t="n"/>
      <c r="O27" s="38">
        <f>IFERROR(IF(COUNT($H27:$N27)=7,INDEX(LINEST($H27:$N27,$H$6:$N$6^{1;2}),1,1),""),"")</f>
        <v/>
      </c>
      <c r="P27" s="38">
        <f>IFERROR(IF(COUNT($H27:$N27)=7,INDEX(LINEST($H27:$N27,$H$6:$N$6^{1;2}),1,2),""),"")</f>
        <v/>
      </c>
      <c r="Q27" s="38">
        <f>IFERROR(IF(COUNT($H27:$N27)=7,INDEX(LINEST($H27:$N27,$H$6:$N$6^{1;2}),1,3),""),"")</f>
        <v/>
      </c>
      <c r="R27" s="39">
        <f>IFERROR(IF(COUNT($H27:$N27)=7,INDEX(LINEST($H27:$N27,$H$6:$N$6^{1;2},TRUE(),TRUE()),3,1),""),"")</f>
        <v/>
      </c>
      <c r="S27" s="40">
        <f>IF(O27="","",TEXT(O27,"0.00")&amp;"·v² "&amp;IF(P27&gt;=0,"+ ","− ")&amp;TEXT(ABS(P27),"0.00")&amp;"·v "&amp;IF(Q27&gt;=0,"+ ","− ")&amp;TEXT(ABS(Q27),"0.00"))</f>
        <v/>
      </c>
      <c r="T27" s="41">
        <f>COUNT($H27:$N27)</f>
        <v/>
      </c>
      <c r="U27" s="41">
        <f>IFERROR(IF(O27="","",O27*($H$3/3600/$C$3)^2+P27*($H$3/3600/$C$3)+Q27),"")</f>
        <v/>
      </c>
      <c r="V27" s="36" t="n"/>
    </row>
  </sheetData>
  <mergeCells count="4">
    <mergeCell ref="A2:V2"/>
    <mergeCell ref="A1:V1"/>
    <mergeCell ref="A3:B3"/>
    <mergeCell ref="E3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2026-06-21T12:48:48Z</dcterms:created>
  <dcterms:modified xmlns:dcterms="http://purl.org/dc/terms/" xmlns:xsi="http://www.w3.org/2001/XMLSchema-instance" xsi:type="dcterms:W3CDTF">2026-06-21T21:31:28Z</dcterms:modified>
  <cp:revision>0</cp:revision>
</cp:coreProperties>
</file>